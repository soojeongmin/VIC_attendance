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heol\OneDrive\바탕 화면\"/>
    </mc:Choice>
  </mc:AlternateContent>
  <xr:revisionPtr revIDLastSave="0" documentId="8_{AEC477FC-441B-4E1E-86C5-4814DD2FCA87}" xr6:coauthVersionLast="47" xr6:coauthVersionMax="47" xr10:uidLastSave="{00000000-0000-0000-0000-000000000000}"/>
  <bookViews>
    <workbookView xWindow="18300" yWindow="360" windowWidth="30270" windowHeight="19875" firstSheet="3" activeTab="3" xr2:uid="{00000000-000D-0000-FFFF-FFFF00000000}"/>
  </bookViews>
  <sheets>
    <sheet name="사용법" sheetId="3" state="hidden" r:id="rId1"/>
    <sheet name="자율관 배정" sheetId="2" state="hidden" r:id="rId2"/>
    <sheet name="자율관2층" sheetId="5" state="hidden" r:id="rId3"/>
    <sheet name="자율관 2층" sheetId="16" r:id="rId4"/>
    <sheet name="자율관 배정 R1" sheetId="18" r:id="rId5"/>
    <sheet name="ET 시간 배정" sheetId="11" state="hidden" r:id="rId6"/>
    <sheet name="면학관 4층" sheetId="8" state="hidden" r:id="rId7"/>
    <sheet name="3층 강의실 배정" sheetId="13" state="hidden" r:id="rId8"/>
  </sheets>
  <definedNames>
    <definedName name="_xlnm._FilterDatabase" localSheetId="5" hidden="1">'ET 시간 배정'!#REF!</definedName>
    <definedName name="_xlnm._FilterDatabase" localSheetId="3" hidden="1">'자율관 2층'!$C$79:$G$116</definedName>
    <definedName name="_xlnm._FilterDatabase" localSheetId="1" hidden="1">'자율관 배정'!#REF!</definedName>
    <definedName name="_xlnm._FilterDatabase" localSheetId="4" hidden="1">'자율관 배정 R1'!$B$2:$G$382</definedName>
    <definedName name="_xlnm._FilterDatabase" localSheetId="2" hidden="1">자율관2층!$D$54:$F$93</definedName>
    <definedName name="_xlnm.Print_Area" localSheetId="3">'자율관 2층'!$A$1:$AF$78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0" i="18" l="1"/>
  <c r="A21" i="16" l="1"/>
  <c r="B21" i="16"/>
  <c r="C21" i="16"/>
  <c r="E21" i="16"/>
  <c r="F21" i="16"/>
  <c r="J21" i="16"/>
  <c r="K21" i="16"/>
  <c r="L21" i="16"/>
  <c r="M21" i="16"/>
  <c r="T21" i="16"/>
  <c r="AC29" i="16"/>
  <c r="AD29" i="16"/>
  <c r="AE29" i="16"/>
  <c r="AF29" i="16"/>
  <c r="AB29" i="16"/>
  <c r="V29" i="16"/>
  <c r="W29" i="16"/>
  <c r="X29" i="16"/>
  <c r="Y29" i="16"/>
  <c r="Z29" i="16"/>
  <c r="U29" i="16"/>
  <c r="AC32" i="16"/>
  <c r="AD32" i="16"/>
  <c r="AE32" i="16"/>
  <c r="AF32" i="16"/>
  <c r="AB32" i="16"/>
  <c r="V32" i="16"/>
  <c r="W32" i="16"/>
  <c r="X32" i="16"/>
  <c r="Y32" i="16"/>
  <c r="Z32" i="16"/>
  <c r="U32" i="16"/>
  <c r="AC36" i="16"/>
  <c r="AD36" i="16"/>
  <c r="AE36" i="16"/>
  <c r="AF36" i="16"/>
  <c r="AB36" i="16"/>
  <c r="V36" i="16"/>
  <c r="W36" i="16"/>
  <c r="X36" i="16"/>
  <c r="Y36" i="16"/>
  <c r="Z36" i="16"/>
  <c r="U36" i="16"/>
  <c r="AF39" i="16"/>
  <c r="AE39" i="16"/>
  <c r="AB39" i="16"/>
  <c r="V39" i="16"/>
  <c r="W39" i="16"/>
  <c r="X39" i="16"/>
  <c r="Y39" i="16"/>
  <c r="Z39" i="16"/>
  <c r="U39" i="16"/>
  <c r="AC43" i="16"/>
  <c r="AD43" i="16"/>
  <c r="AE43" i="16"/>
  <c r="AF43" i="16"/>
  <c r="AB43" i="16"/>
  <c r="V43" i="16"/>
  <c r="W43" i="16"/>
  <c r="X43" i="16"/>
  <c r="Y43" i="16"/>
  <c r="Z43" i="16"/>
  <c r="U43" i="16"/>
  <c r="AC46" i="16"/>
  <c r="AD46" i="16"/>
  <c r="AE46" i="16"/>
  <c r="AF46" i="16"/>
  <c r="AB46" i="16"/>
  <c r="V46" i="16"/>
  <c r="W46" i="16"/>
  <c r="X46" i="16"/>
  <c r="Y46" i="16"/>
  <c r="Z46" i="16"/>
  <c r="U46" i="16"/>
  <c r="AC50" i="16"/>
  <c r="AD50" i="16"/>
  <c r="AE50" i="16"/>
  <c r="AF50" i="16"/>
  <c r="AB50" i="16"/>
  <c r="V50" i="16"/>
  <c r="W50" i="16"/>
  <c r="X50" i="16"/>
  <c r="Y50" i="16"/>
  <c r="Z50" i="16"/>
  <c r="U50" i="16"/>
  <c r="AC53" i="16"/>
  <c r="AD53" i="16"/>
  <c r="AE53" i="16"/>
  <c r="AF53" i="16"/>
  <c r="AB53" i="16"/>
  <c r="V53" i="16"/>
  <c r="W53" i="16"/>
  <c r="X53" i="16"/>
  <c r="Y53" i="16"/>
  <c r="Z53" i="16"/>
  <c r="U53" i="16"/>
  <c r="AF57" i="16"/>
  <c r="AE57" i="16"/>
  <c r="AB57" i="16"/>
  <c r="Z57" i="16"/>
  <c r="V57" i="16"/>
  <c r="W57" i="16"/>
  <c r="X57" i="16"/>
  <c r="Y57" i="16"/>
  <c r="U57" i="16"/>
  <c r="AC60" i="16"/>
  <c r="AD60" i="16"/>
  <c r="AE60" i="16"/>
  <c r="AF60" i="16"/>
  <c r="AB60" i="16"/>
  <c r="V60" i="16"/>
  <c r="W60" i="16"/>
  <c r="X60" i="16"/>
  <c r="Y60" i="16"/>
  <c r="Z60" i="16"/>
  <c r="U60" i="16"/>
  <c r="AC64" i="16"/>
  <c r="AD64" i="16"/>
  <c r="AE64" i="16"/>
  <c r="AF64" i="16"/>
  <c r="AB64" i="16"/>
  <c r="W64" i="16"/>
  <c r="X64" i="16"/>
  <c r="Y64" i="16"/>
  <c r="Z64" i="16"/>
  <c r="V64" i="16"/>
  <c r="Z67" i="16"/>
  <c r="AC67" i="16"/>
  <c r="AD67" i="16"/>
  <c r="AE67" i="16"/>
  <c r="AF67" i="16"/>
  <c r="AB67" i="16"/>
  <c r="Q10" i="16"/>
  <c r="C60" i="16"/>
  <c r="C61" i="16"/>
  <c r="C62" i="16"/>
  <c r="C59" i="16"/>
  <c r="C46" i="16"/>
  <c r="C47" i="16"/>
  <c r="C48" i="16"/>
  <c r="C49" i="16"/>
  <c r="C50" i="16"/>
  <c r="C51" i="16"/>
  <c r="C52" i="16"/>
  <c r="C53" i="16"/>
  <c r="C45" i="16"/>
  <c r="C25" i="16"/>
  <c r="C26" i="16"/>
  <c r="C27" i="16"/>
  <c r="C28" i="16"/>
  <c r="C29" i="16"/>
  <c r="C30" i="16"/>
  <c r="C31" i="16"/>
  <c r="C32" i="16"/>
  <c r="C24" i="16"/>
  <c r="G68" i="16"/>
  <c r="H68" i="16"/>
  <c r="I68" i="16"/>
  <c r="J68" i="16"/>
  <c r="K68" i="16"/>
  <c r="L68" i="16"/>
  <c r="M68" i="16"/>
  <c r="N68" i="16"/>
  <c r="O68" i="16"/>
  <c r="F68" i="16"/>
  <c r="G71" i="16"/>
  <c r="H71" i="16"/>
  <c r="I71" i="16"/>
  <c r="J71" i="16"/>
  <c r="K71" i="16"/>
  <c r="L71" i="16"/>
  <c r="M71" i="16"/>
  <c r="N71" i="16"/>
  <c r="O71" i="16"/>
  <c r="F71" i="16"/>
  <c r="F75" i="16"/>
  <c r="G75" i="16"/>
  <c r="H75" i="16"/>
  <c r="I75" i="16"/>
  <c r="J75" i="16"/>
  <c r="K75" i="16"/>
  <c r="L75" i="16"/>
  <c r="M75" i="16"/>
  <c r="N75" i="16"/>
  <c r="E75" i="16"/>
  <c r="G64" i="16"/>
  <c r="H64" i="16"/>
  <c r="F64" i="16"/>
  <c r="G61" i="16"/>
  <c r="H61" i="16"/>
  <c r="F61" i="16"/>
  <c r="K61" i="16"/>
  <c r="L61" i="16"/>
  <c r="M61" i="16"/>
  <c r="N61" i="16"/>
  <c r="O61" i="16"/>
  <c r="J61" i="16"/>
  <c r="K58" i="16"/>
  <c r="L58" i="16"/>
  <c r="M58" i="16"/>
  <c r="N58" i="16"/>
  <c r="O58" i="16"/>
  <c r="J58" i="16"/>
  <c r="G57" i="16"/>
  <c r="H57" i="16"/>
  <c r="F57" i="16"/>
  <c r="G54" i="16"/>
  <c r="H54" i="16"/>
  <c r="F54" i="16"/>
  <c r="K53" i="16"/>
  <c r="L53" i="16"/>
  <c r="M53" i="16"/>
  <c r="N53" i="16"/>
  <c r="O53" i="16"/>
  <c r="J53" i="16"/>
  <c r="K50" i="16"/>
  <c r="L50" i="16"/>
  <c r="M50" i="16"/>
  <c r="N50" i="16"/>
  <c r="O50" i="16"/>
  <c r="J50" i="16"/>
  <c r="G50" i="16"/>
  <c r="H50" i="16"/>
  <c r="F50" i="16"/>
  <c r="G47" i="16"/>
  <c r="H47" i="16"/>
  <c r="F47" i="16"/>
  <c r="L43" i="16"/>
  <c r="M43" i="16"/>
  <c r="N43" i="16"/>
  <c r="K43" i="16"/>
  <c r="G43" i="16"/>
  <c r="H43" i="16"/>
  <c r="F43" i="16"/>
  <c r="L40" i="16"/>
  <c r="M40" i="16"/>
  <c r="N40" i="16"/>
  <c r="K40" i="16"/>
  <c r="G40" i="16"/>
  <c r="H40" i="16"/>
  <c r="F40" i="16"/>
  <c r="K36" i="16"/>
  <c r="L36" i="16"/>
  <c r="M36" i="16"/>
  <c r="N36" i="16"/>
  <c r="O36" i="16"/>
  <c r="J36" i="16"/>
  <c r="G36" i="16"/>
  <c r="H36" i="16"/>
  <c r="F36" i="16"/>
  <c r="K33" i="16"/>
  <c r="L33" i="16"/>
  <c r="M33" i="16"/>
  <c r="N33" i="16"/>
  <c r="O33" i="16"/>
  <c r="J33" i="16"/>
  <c r="G33" i="16"/>
  <c r="H33" i="16"/>
  <c r="F33" i="16"/>
  <c r="K29" i="16"/>
  <c r="L29" i="16"/>
  <c r="M29" i="16"/>
  <c r="N29" i="16"/>
  <c r="O29" i="16"/>
  <c r="J29" i="16"/>
  <c r="G29" i="16"/>
  <c r="H29" i="16"/>
  <c r="F29" i="16"/>
  <c r="K26" i="16"/>
  <c r="L26" i="16"/>
  <c r="M26" i="16"/>
  <c r="N26" i="16"/>
  <c r="O26" i="16"/>
  <c r="J26" i="16"/>
  <c r="G26" i="16"/>
  <c r="H26" i="16"/>
  <c r="F26" i="16"/>
  <c r="U22" i="16"/>
  <c r="V22" i="16"/>
  <c r="T22" i="16"/>
  <c r="K22" i="16"/>
  <c r="L22" i="16"/>
  <c r="M22" i="16"/>
  <c r="J22" i="16"/>
  <c r="B22" i="16"/>
  <c r="C22" i="16"/>
  <c r="D22" i="16"/>
  <c r="E22" i="16"/>
  <c r="F22" i="16"/>
  <c r="A22" i="16"/>
  <c r="P18" i="16"/>
  <c r="Q18" i="16"/>
  <c r="R18" i="16"/>
  <c r="S18" i="16"/>
  <c r="T18" i="16"/>
  <c r="U18" i="16"/>
  <c r="O18" i="16"/>
  <c r="J18" i="16"/>
  <c r="K18" i="16"/>
  <c r="L18" i="16"/>
  <c r="M18" i="16"/>
  <c r="I18" i="16"/>
  <c r="B18" i="16"/>
  <c r="C18" i="16"/>
  <c r="D18" i="16"/>
  <c r="E18" i="16"/>
  <c r="F18" i="16"/>
  <c r="A18" i="16"/>
  <c r="P15" i="16"/>
  <c r="Q15" i="16"/>
  <c r="R15" i="16"/>
  <c r="S15" i="16"/>
  <c r="T15" i="16"/>
  <c r="U15" i="16"/>
  <c r="O15" i="16"/>
  <c r="J15" i="16"/>
  <c r="K15" i="16"/>
  <c r="L15" i="16"/>
  <c r="M15" i="16"/>
  <c r="I15" i="16"/>
  <c r="B15" i="16"/>
  <c r="C15" i="16"/>
  <c r="D15" i="16"/>
  <c r="E15" i="16"/>
  <c r="F15" i="16"/>
  <c r="A15" i="16"/>
  <c r="P11" i="16"/>
  <c r="Q11" i="16"/>
  <c r="R11" i="16"/>
  <c r="S11" i="16"/>
  <c r="T11" i="16"/>
  <c r="U11" i="16"/>
  <c r="O11" i="16"/>
  <c r="J11" i="16"/>
  <c r="K11" i="16"/>
  <c r="L11" i="16"/>
  <c r="M11" i="16"/>
  <c r="I11" i="16"/>
  <c r="B11" i="16"/>
  <c r="C11" i="16"/>
  <c r="D11" i="16"/>
  <c r="E11" i="16"/>
  <c r="F11" i="16"/>
  <c r="A11" i="16"/>
  <c r="P8" i="16"/>
  <c r="Q8" i="16"/>
  <c r="R8" i="16"/>
  <c r="S8" i="16"/>
  <c r="T8" i="16"/>
  <c r="U8" i="16"/>
  <c r="O8" i="16"/>
  <c r="J8" i="16"/>
  <c r="K8" i="16"/>
  <c r="L8" i="16"/>
  <c r="M8" i="16"/>
  <c r="I8" i="16"/>
  <c r="B8" i="16"/>
  <c r="C8" i="16"/>
  <c r="D8" i="16"/>
  <c r="E8" i="16"/>
  <c r="F8" i="16"/>
  <c r="A8" i="16"/>
  <c r="AC8" i="16"/>
  <c r="AD8" i="16"/>
  <c r="AE8" i="16"/>
  <c r="AF8" i="16"/>
  <c r="AB8" i="16"/>
  <c r="Y8" i="16"/>
  <c r="Z8" i="16"/>
  <c r="X8" i="16"/>
  <c r="AC11" i="16"/>
  <c r="AD11" i="16"/>
  <c r="AE11" i="16"/>
  <c r="AF11" i="16"/>
  <c r="AB11" i="16"/>
  <c r="Y11" i="16"/>
  <c r="Z11" i="16"/>
  <c r="X11" i="16"/>
  <c r="Y15" i="16"/>
  <c r="Z15" i="16"/>
  <c r="X15" i="16"/>
  <c r="AC15" i="16"/>
  <c r="AD15" i="16"/>
  <c r="AE15" i="16"/>
  <c r="AF15" i="16"/>
  <c r="AB15" i="16"/>
  <c r="Y18" i="16"/>
  <c r="Z18" i="16"/>
  <c r="X18" i="16"/>
  <c r="AC18" i="16"/>
  <c r="AD18" i="16"/>
  <c r="AB18" i="16"/>
  <c r="AE18" i="16"/>
  <c r="AF18" i="16"/>
  <c r="AE22" i="16"/>
  <c r="AF22" i="16"/>
  <c r="F17" i="16" l="1"/>
  <c r="E17" i="16"/>
  <c r="F14" i="16"/>
  <c r="E14" i="16"/>
  <c r="F10" i="16"/>
  <c r="E10" i="16"/>
  <c r="F7" i="16"/>
  <c r="E7" i="16"/>
  <c r="V21" i="16" l="1"/>
  <c r="U21" i="16"/>
  <c r="AF21" i="16"/>
  <c r="AE21" i="16"/>
  <c r="N21" i="16"/>
  <c r="O21" i="16"/>
  <c r="P21" i="16"/>
  <c r="Q21" i="16"/>
  <c r="R21" i="16"/>
  <c r="S21" i="16"/>
  <c r="X21" i="16"/>
  <c r="Y21" i="16"/>
  <c r="Z21" i="16"/>
  <c r="AA21" i="16"/>
  <c r="AB21" i="16"/>
  <c r="AC21" i="16"/>
  <c r="AD21" i="16"/>
  <c r="AE17" i="16"/>
  <c r="R30" i="16" l="1"/>
  <c r="R29" i="16"/>
  <c r="F74" i="16"/>
  <c r="G74" i="16"/>
  <c r="H74" i="16"/>
  <c r="I74" i="16"/>
  <c r="J74" i="16"/>
  <c r="K74" i="16"/>
  <c r="L74" i="16"/>
  <c r="M74" i="16"/>
  <c r="N74" i="16"/>
  <c r="E74" i="16"/>
  <c r="G70" i="16"/>
  <c r="H70" i="16"/>
  <c r="I70" i="16"/>
  <c r="J70" i="16"/>
  <c r="K70" i="16"/>
  <c r="L70" i="16"/>
  <c r="M70" i="16"/>
  <c r="N70" i="16"/>
  <c r="O70" i="16"/>
  <c r="F70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G67" i="16"/>
  <c r="H67" i="16"/>
  <c r="I67" i="16"/>
  <c r="J67" i="16"/>
  <c r="K67" i="16"/>
  <c r="L67" i="16"/>
  <c r="M67" i="16"/>
  <c r="N67" i="16"/>
  <c r="O67" i="16"/>
  <c r="F67" i="16"/>
  <c r="G63" i="16" l="1"/>
  <c r="H63" i="16"/>
  <c r="F63" i="16"/>
  <c r="G60" i="16"/>
  <c r="H60" i="16"/>
  <c r="F60" i="16"/>
  <c r="D54" i="16"/>
  <c r="D55" i="16"/>
  <c r="D56" i="16"/>
  <c r="D57" i="16"/>
  <c r="D58" i="16"/>
  <c r="D59" i="16"/>
  <c r="D60" i="16"/>
  <c r="D61" i="16"/>
  <c r="D62" i="16"/>
  <c r="C54" i="16"/>
  <c r="C55" i="16"/>
  <c r="C56" i="16"/>
  <c r="C57" i="16"/>
  <c r="C58" i="16"/>
  <c r="K60" i="16"/>
  <c r="L60" i="16"/>
  <c r="M60" i="16"/>
  <c r="N60" i="16"/>
  <c r="O60" i="16"/>
  <c r="J60" i="16"/>
  <c r="AB66" i="16"/>
  <c r="AC66" i="16"/>
  <c r="AD66" i="16"/>
  <c r="AE66" i="16"/>
  <c r="AF66" i="16"/>
  <c r="Z66" i="16"/>
  <c r="W63" i="16"/>
  <c r="X63" i="16"/>
  <c r="Y63" i="16"/>
  <c r="Z63" i="16"/>
  <c r="AB63" i="16"/>
  <c r="AC63" i="16"/>
  <c r="AD63" i="16"/>
  <c r="AE63" i="16"/>
  <c r="AF63" i="16"/>
  <c r="V63" i="16"/>
  <c r="V59" i="16"/>
  <c r="W59" i="16"/>
  <c r="X59" i="16"/>
  <c r="Y59" i="16"/>
  <c r="Z59" i="16"/>
  <c r="AB59" i="16"/>
  <c r="AC59" i="16"/>
  <c r="AD59" i="16"/>
  <c r="AE59" i="16"/>
  <c r="AF59" i="16"/>
  <c r="U59" i="16"/>
  <c r="V56" i="16"/>
  <c r="W56" i="16"/>
  <c r="X56" i="16"/>
  <c r="Y56" i="16"/>
  <c r="Z56" i="16"/>
  <c r="AB56" i="16"/>
  <c r="AE56" i="16"/>
  <c r="AF56" i="16"/>
  <c r="U56" i="16"/>
  <c r="G53" i="16"/>
  <c r="H53" i="16"/>
  <c r="F53" i="16"/>
  <c r="J57" i="16"/>
  <c r="K57" i="16"/>
  <c r="L57" i="16"/>
  <c r="M57" i="16"/>
  <c r="N57" i="16"/>
  <c r="O57" i="16"/>
  <c r="G56" i="16"/>
  <c r="H56" i="16"/>
  <c r="F56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AD55" i="16"/>
  <c r="R31" i="16" s="1"/>
  <c r="K52" i="16"/>
  <c r="L52" i="16"/>
  <c r="M52" i="16"/>
  <c r="N52" i="16"/>
  <c r="O52" i="16"/>
  <c r="J52" i="16"/>
  <c r="G49" i="16"/>
  <c r="H49" i="16"/>
  <c r="J49" i="16"/>
  <c r="K49" i="16"/>
  <c r="L49" i="16"/>
  <c r="M49" i="16"/>
  <c r="N49" i="16"/>
  <c r="O49" i="16"/>
  <c r="F49" i="16"/>
  <c r="G46" i="16"/>
  <c r="H46" i="16"/>
  <c r="F46" i="16"/>
  <c r="G42" i="16"/>
  <c r="H42" i="16"/>
  <c r="K42" i="16"/>
  <c r="L42" i="16"/>
  <c r="M42" i="16"/>
  <c r="N42" i="16"/>
  <c r="F42" i="16"/>
  <c r="G39" i="16"/>
  <c r="H39" i="16"/>
  <c r="K39" i="16"/>
  <c r="L39" i="16"/>
  <c r="M39" i="16"/>
  <c r="N39" i="16"/>
  <c r="F39" i="16"/>
  <c r="V35" i="16"/>
  <c r="W35" i="16"/>
  <c r="X35" i="16"/>
  <c r="Y35" i="16"/>
  <c r="Z35" i="16"/>
  <c r="AB35" i="16"/>
  <c r="AC35" i="16"/>
  <c r="AD35" i="16"/>
  <c r="AE35" i="16"/>
  <c r="AF35" i="16"/>
  <c r="AG34" i="16"/>
  <c r="B30" i="16"/>
  <c r="D30" i="16"/>
  <c r="V52" i="16"/>
  <c r="W52" i="16"/>
  <c r="X52" i="16"/>
  <c r="Y52" i="16"/>
  <c r="Z52" i="16"/>
  <c r="AB52" i="16"/>
  <c r="AC52" i="16"/>
  <c r="AD52" i="16"/>
  <c r="AD54" i="16" s="1"/>
  <c r="AD56" i="16" s="1"/>
  <c r="AE52" i="16"/>
  <c r="AF52" i="16"/>
  <c r="U52" i="16"/>
  <c r="V49" i="16"/>
  <c r="W49" i="16"/>
  <c r="X49" i="16"/>
  <c r="Y49" i="16"/>
  <c r="Z49" i="16"/>
  <c r="AB49" i="16"/>
  <c r="AC49" i="16"/>
  <c r="AD49" i="16"/>
  <c r="AE49" i="16"/>
  <c r="AF49" i="16"/>
  <c r="U49" i="16"/>
  <c r="V45" i="16"/>
  <c r="W45" i="16"/>
  <c r="X45" i="16"/>
  <c r="Y45" i="16"/>
  <c r="Z45" i="16"/>
  <c r="AB45" i="16"/>
  <c r="AC45" i="16"/>
  <c r="AD45" i="16"/>
  <c r="AE45" i="16"/>
  <c r="AF45" i="16"/>
  <c r="U45" i="16"/>
  <c r="V42" i="16"/>
  <c r="W42" i="16"/>
  <c r="X42" i="16"/>
  <c r="Y42" i="16"/>
  <c r="Z42" i="16"/>
  <c r="AB42" i="16"/>
  <c r="AC42" i="16"/>
  <c r="AD42" i="16"/>
  <c r="AE42" i="16"/>
  <c r="AF42" i="16"/>
  <c r="U42" i="16"/>
  <c r="V38" i="16"/>
  <c r="W38" i="16"/>
  <c r="X38" i="16"/>
  <c r="Y38" i="16"/>
  <c r="Z38" i="16"/>
  <c r="AB38" i="16"/>
  <c r="AE38" i="16"/>
  <c r="AF38" i="16"/>
  <c r="U38" i="16"/>
  <c r="U35" i="16"/>
  <c r="V31" i="16"/>
  <c r="W31" i="16"/>
  <c r="X31" i="16"/>
  <c r="Y31" i="16"/>
  <c r="Z31" i="16"/>
  <c r="AB31" i="16"/>
  <c r="AC31" i="16"/>
  <c r="AD31" i="16"/>
  <c r="AE31" i="16"/>
  <c r="AF31" i="16"/>
  <c r="U31" i="16"/>
  <c r="V28" i="16"/>
  <c r="W28" i="16"/>
  <c r="X28" i="16"/>
  <c r="Y28" i="16"/>
  <c r="Z28" i="16"/>
  <c r="AB28" i="16"/>
  <c r="AC28" i="16"/>
  <c r="AD28" i="16"/>
  <c r="AE28" i="16"/>
  <c r="AF28" i="16"/>
  <c r="U28" i="16"/>
  <c r="B45" i="16"/>
  <c r="G35" i="16"/>
  <c r="H35" i="16"/>
  <c r="J35" i="16"/>
  <c r="K35" i="16"/>
  <c r="L35" i="16"/>
  <c r="M35" i="16"/>
  <c r="N35" i="16"/>
  <c r="O35" i="16"/>
  <c r="F35" i="16"/>
  <c r="G32" i="16"/>
  <c r="H32" i="16"/>
  <c r="J32" i="16"/>
  <c r="K32" i="16"/>
  <c r="L32" i="16"/>
  <c r="M32" i="16"/>
  <c r="N32" i="16"/>
  <c r="O32" i="16"/>
  <c r="F32" i="16"/>
  <c r="G28" i="16"/>
  <c r="H28" i="16"/>
  <c r="J28" i="16"/>
  <c r="K28" i="16"/>
  <c r="L28" i="16"/>
  <c r="M28" i="16"/>
  <c r="N28" i="16"/>
  <c r="O28" i="16"/>
  <c r="F28" i="16"/>
  <c r="G25" i="16"/>
  <c r="H25" i="16"/>
  <c r="J25" i="16"/>
  <c r="K25" i="16"/>
  <c r="L25" i="16"/>
  <c r="M25" i="16"/>
  <c r="N25" i="16"/>
  <c r="O25" i="16"/>
  <c r="F25" i="16"/>
  <c r="D25" i="16"/>
  <c r="D26" i="16"/>
  <c r="D27" i="16"/>
  <c r="D28" i="16"/>
  <c r="D29" i="16"/>
  <c r="D31" i="16"/>
  <c r="D32" i="16"/>
  <c r="D24" i="16"/>
  <c r="B25" i="16"/>
  <c r="B26" i="16"/>
  <c r="B27" i="16"/>
  <c r="B28" i="16"/>
  <c r="B29" i="16"/>
  <c r="B31" i="16"/>
  <c r="B32" i="16"/>
  <c r="B24" i="16"/>
  <c r="B17" i="16"/>
  <c r="C17" i="16"/>
  <c r="I17" i="16"/>
  <c r="J17" i="16"/>
  <c r="K17" i="16"/>
  <c r="L17" i="16"/>
  <c r="M17" i="16"/>
  <c r="O17" i="16"/>
  <c r="P17" i="16"/>
  <c r="Q17" i="16"/>
  <c r="R17" i="16"/>
  <c r="S17" i="16"/>
  <c r="T17" i="16"/>
  <c r="U17" i="16"/>
  <c r="X17" i="16"/>
  <c r="Y17" i="16"/>
  <c r="Z17" i="16"/>
  <c r="AB17" i="16"/>
  <c r="AC17" i="16"/>
  <c r="AD17" i="16"/>
  <c r="AF17" i="16"/>
  <c r="A17" i="16"/>
  <c r="R28" i="16" l="1"/>
  <c r="S28" i="16"/>
  <c r="S31" i="16"/>
  <c r="AD57" i="16"/>
  <c r="B7" i="16" l="1"/>
  <c r="C7" i="16"/>
  <c r="I7" i="16"/>
  <c r="J7" i="16"/>
  <c r="K7" i="16"/>
  <c r="L7" i="16"/>
  <c r="M7" i="16"/>
  <c r="O7" i="16"/>
  <c r="P7" i="16"/>
  <c r="Q7" i="16"/>
  <c r="R7" i="16"/>
  <c r="S7" i="16"/>
  <c r="T7" i="16"/>
  <c r="U7" i="16"/>
  <c r="X7" i="16"/>
  <c r="Y7" i="16"/>
  <c r="Z7" i="16"/>
  <c r="AB7" i="16"/>
  <c r="AC7" i="16"/>
  <c r="AD7" i="16"/>
  <c r="AE7" i="16"/>
  <c r="AF7" i="16"/>
  <c r="C10" i="16"/>
  <c r="I10" i="16"/>
  <c r="J10" i="16"/>
  <c r="K10" i="16"/>
  <c r="L10" i="16"/>
  <c r="M10" i="16"/>
  <c r="O10" i="16"/>
  <c r="P10" i="16"/>
  <c r="S22" i="16" l="1"/>
  <c r="B14" i="16"/>
  <c r="C14" i="16"/>
  <c r="I14" i="16"/>
  <c r="J14" i="16"/>
  <c r="K14" i="16"/>
  <c r="L14" i="16"/>
  <c r="M14" i="16"/>
  <c r="O14" i="16"/>
  <c r="P14" i="16"/>
  <c r="Q14" i="16"/>
  <c r="R14" i="16"/>
  <c r="S14" i="16"/>
  <c r="T14" i="16"/>
  <c r="U14" i="16"/>
  <c r="X14" i="16"/>
  <c r="Y14" i="16"/>
  <c r="Z14" i="16"/>
  <c r="AB14" i="16"/>
  <c r="AC14" i="16"/>
  <c r="AD14" i="16"/>
  <c r="AE14" i="16"/>
  <c r="AF14" i="16"/>
  <c r="A14" i="16"/>
  <c r="B10" i="16"/>
  <c r="R10" i="16"/>
  <c r="S10" i="16"/>
  <c r="T10" i="16"/>
  <c r="U10" i="16"/>
  <c r="X10" i="16"/>
  <c r="Y10" i="16"/>
  <c r="Z10" i="16"/>
  <c r="AB10" i="16"/>
  <c r="AC10" i="16"/>
  <c r="AD10" i="16"/>
  <c r="AE10" i="16"/>
  <c r="AF10" i="16"/>
  <c r="A10" i="16"/>
  <c r="A7" i="16"/>
  <c r="S29" i="16" l="1"/>
  <c r="R32" i="16"/>
  <c r="G24" i="13" l="1"/>
  <c r="F24" i="13"/>
  <c r="E24" i="13"/>
  <c r="D24" i="13"/>
  <c r="G23" i="13"/>
  <c r="F23" i="13"/>
  <c r="E23" i="13"/>
  <c r="D23" i="13"/>
  <c r="C23" i="13"/>
  <c r="C24" i="13"/>
  <c r="H20" i="13"/>
  <c r="H21" i="13"/>
  <c r="F20" i="13"/>
  <c r="G20" i="13"/>
  <c r="F21" i="13"/>
  <c r="G21" i="13"/>
  <c r="F17" i="13"/>
  <c r="G17" i="13"/>
  <c r="H17" i="13"/>
  <c r="F18" i="13"/>
  <c r="G18" i="13"/>
  <c r="H18" i="13"/>
  <c r="F14" i="13"/>
  <c r="G14" i="13"/>
  <c r="H14" i="13"/>
  <c r="F15" i="13"/>
  <c r="G15" i="13"/>
  <c r="H15" i="13"/>
  <c r="F11" i="13"/>
  <c r="G11" i="13"/>
  <c r="H11" i="13"/>
  <c r="F12" i="13"/>
  <c r="G12" i="13"/>
  <c r="H12" i="13"/>
  <c r="F8" i="13"/>
  <c r="G8" i="13"/>
  <c r="H8" i="13"/>
  <c r="F9" i="13"/>
  <c r="G9" i="13"/>
  <c r="H9" i="13"/>
  <c r="F6" i="13"/>
  <c r="G6" i="13"/>
  <c r="H6" i="13"/>
  <c r="F5" i="13"/>
  <c r="G5" i="13"/>
  <c r="H5" i="13"/>
  <c r="T20" i="13" l="1"/>
  <c r="T21" i="13"/>
  <c r="T17" i="13"/>
  <c r="T18" i="13"/>
  <c r="T14" i="13"/>
  <c r="T15" i="13"/>
  <c r="T11" i="13"/>
  <c r="T12" i="13"/>
  <c r="T8" i="13"/>
  <c r="T9" i="13"/>
  <c r="T6" i="13"/>
  <c r="T5" i="13"/>
  <c r="D44" i="13" l="1"/>
  <c r="E44" i="13"/>
  <c r="F44" i="13"/>
  <c r="G44" i="13"/>
  <c r="K44" i="13"/>
  <c r="L44" i="13"/>
  <c r="M44" i="13"/>
  <c r="N44" i="13"/>
  <c r="O44" i="13"/>
  <c r="R44" i="13"/>
  <c r="S44" i="13"/>
  <c r="T44" i="13"/>
  <c r="U44" i="13"/>
  <c r="V44" i="13"/>
  <c r="D45" i="13"/>
  <c r="E45" i="13"/>
  <c r="F45" i="13"/>
  <c r="G45" i="13"/>
  <c r="K45" i="13"/>
  <c r="L45" i="13"/>
  <c r="M45" i="13"/>
  <c r="N45" i="13"/>
  <c r="O45" i="13"/>
  <c r="R45" i="13"/>
  <c r="S45" i="13"/>
  <c r="T45" i="13"/>
  <c r="U45" i="13"/>
  <c r="V45" i="13"/>
  <c r="D41" i="13"/>
  <c r="E41" i="13"/>
  <c r="F41" i="13"/>
  <c r="G41" i="13"/>
  <c r="K41" i="13"/>
  <c r="L41" i="13"/>
  <c r="M41" i="13"/>
  <c r="N41" i="13"/>
  <c r="O41" i="13"/>
  <c r="R41" i="13"/>
  <c r="S41" i="13"/>
  <c r="T41" i="13"/>
  <c r="U41" i="13"/>
  <c r="V41" i="13"/>
  <c r="D42" i="13"/>
  <c r="E42" i="13"/>
  <c r="F42" i="13"/>
  <c r="G42" i="13"/>
  <c r="K42" i="13"/>
  <c r="L42" i="13"/>
  <c r="M42" i="13"/>
  <c r="N42" i="13"/>
  <c r="O42" i="13"/>
  <c r="R42" i="13"/>
  <c r="S42" i="13"/>
  <c r="T42" i="13"/>
  <c r="U42" i="13"/>
  <c r="V42" i="13"/>
  <c r="D38" i="13"/>
  <c r="E38" i="13"/>
  <c r="F38" i="13"/>
  <c r="G38" i="13"/>
  <c r="K38" i="13"/>
  <c r="L38" i="13"/>
  <c r="M38" i="13"/>
  <c r="N38" i="13"/>
  <c r="O38" i="13"/>
  <c r="R38" i="13"/>
  <c r="S38" i="13"/>
  <c r="T38" i="13"/>
  <c r="U38" i="13"/>
  <c r="V38" i="13"/>
  <c r="D39" i="13"/>
  <c r="E39" i="13"/>
  <c r="F39" i="13"/>
  <c r="G39" i="13"/>
  <c r="K39" i="13"/>
  <c r="L39" i="13"/>
  <c r="M39" i="13"/>
  <c r="N39" i="13"/>
  <c r="O39" i="13"/>
  <c r="R39" i="13"/>
  <c r="S39" i="13"/>
  <c r="T39" i="13"/>
  <c r="U39" i="13"/>
  <c r="V39" i="13"/>
  <c r="D35" i="13"/>
  <c r="E35" i="13"/>
  <c r="F35" i="13"/>
  <c r="G35" i="13"/>
  <c r="K35" i="13"/>
  <c r="L35" i="13"/>
  <c r="M35" i="13"/>
  <c r="N35" i="13"/>
  <c r="O35" i="13"/>
  <c r="R35" i="13"/>
  <c r="S35" i="13"/>
  <c r="T35" i="13"/>
  <c r="U35" i="13"/>
  <c r="V35" i="13"/>
  <c r="D36" i="13"/>
  <c r="E36" i="13"/>
  <c r="F36" i="13"/>
  <c r="G36" i="13"/>
  <c r="K36" i="13"/>
  <c r="L36" i="13"/>
  <c r="M36" i="13"/>
  <c r="N36" i="13"/>
  <c r="O36" i="13"/>
  <c r="R36" i="13"/>
  <c r="S36" i="13"/>
  <c r="T36" i="13"/>
  <c r="U36" i="13"/>
  <c r="V36" i="13"/>
  <c r="D32" i="13"/>
  <c r="E32" i="13"/>
  <c r="F32" i="13"/>
  <c r="G32" i="13"/>
  <c r="K32" i="13"/>
  <c r="L32" i="13"/>
  <c r="M32" i="13"/>
  <c r="N32" i="13"/>
  <c r="O32" i="13"/>
  <c r="R32" i="13"/>
  <c r="S32" i="13"/>
  <c r="T32" i="13"/>
  <c r="U32" i="13"/>
  <c r="V32" i="13"/>
  <c r="D33" i="13"/>
  <c r="E33" i="13"/>
  <c r="F33" i="13"/>
  <c r="G33" i="13"/>
  <c r="K33" i="13"/>
  <c r="L33" i="13"/>
  <c r="M33" i="13"/>
  <c r="N33" i="13"/>
  <c r="O33" i="13"/>
  <c r="R33" i="13"/>
  <c r="S33" i="13"/>
  <c r="T33" i="13"/>
  <c r="U33" i="13"/>
  <c r="V33" i="13"/>
  <c r="D29" i="13"/>
  <c r="E29" i="13"/>
  <c r="F29" i="13"/>
  <c r="G29" i="13"/>
  <c r="K29" i="13"/>
  <c r="L29" i="13"/>
  <c r="M29" i="13"/>
  <c r="N29" i="13"/>
  <c r="O29" i="13"/>
  <c r="R29" i="13"/>
  <c r="S29" i="13"/>
  <c r="T29" i="13"/>
  <c r="U29" i="13"/>
  <c r="V29" i="13"/>
  <c r="D30" i="13"/>
  <c r="E30" i="13"/>
  <c r="F30" i="13"/>
  <c r="G30" i="13"/>
  <c r="K30" i="13"/>
  <c r="L30" i="13"/>
  <c r="M30" i="13"/>
  <c r="N30" i="13"/>
  <c r="O30" i="13"/>
  <c r="R30" i="13"/>
  <c r="S30" i="13"/>
  <c r="T30" i="13"/>
  <c r="U30" i="13"/>
  <c r="V30" i="13"/>
  <c r="D20" i="13"/>
  <c r="E20" i="13"/>
  <c r="K20" i="13"/>
  <c r="L20" i="13"/>
  <c r="M20" i="13"/>
  <c r="N20" i="13"/>
  <c r="O20" i="13"/>
  <c r="R20" i="13"/>
  <c r="S20" i="13"/>
  <c r="U20" i="13"/>
  <c r="V20" i="13"/>
  <c r="D21" i="13"/>
  <c r="E21" i="13"/>
  <c r="K21" i="13"/>
  <c r="L21" i="13"/>
  <c r="M21" i="13"/>
  <c r="N21" i="13"/>
  <c r="O21" i="13"/>
  <c r="R21" i="13"/>
  <c r="S21" i="13"/>
  <c r="U21" i="13"/>
  <c r="V21" i="13"/>
  <c r="D17" i="13"/>
  <c r="E17" i="13"/>
  <c r="K17" i="13"/>
  <c r="L17" i="13"/>
  <c r="M17" i="13"/>
  <c r="N17" i="13"/>
  <c r="O17" i="13"/>
  <c r="R17" i="13"/>
  <c r="S17" i="13"/>
  <c r="U17" i="13"/>
  <c r="V17" i="13"/>
  <c r="D18" i="13"/>
  <c r="E18" i="13"/>
  <c r="K18" i="13"/>
  <c r="L18" i="13"/>
  <c r="M18" i="13"/>
  <c r="N18" i="13"/>
  <c r="O18" i="13"/>
  <c r="R18" i="13"/>
  <c r="S18" i="13"/>
  <c r="U18" i="13"/>
  <c r="V18" i="13"/>
  <c r="D14" i="13"/>
  <c r="E14" i="13"/>
  <c r="K14" i="13"/>
  <c r="L14" i="13"/>
  <c r="M14" i="13"/>
  <c r="N14" i="13"/>
  <c r="O14" i="13"/>
  <c r="R14" i="13"/>
  <c r="S14" i="13"/>
  <c r="U14" i="13"/>
  <c r="V14" i="13"/>
  <c r="D15" i="13"/>
  <c r="E15" i="13"/>
  <c r="K15" i="13"/>
  <c r="L15" i="13"/>
  <c r="M15" i="13"/>
  <c r="N15" i="13"/>
  <c r="O15" i="13"/>
  <c r="R15" i="13"/>
  <c r="S15" i="13"/>
  <c r="U15" i="13"/>
  <c r="V15" i="13"/>
  <c r="D11" i="13"/>
  <c r="E11" i="13"/>
  <c r="K11" i="13"/>
  <c r="L11" i="13"/>
  <c r="M11" i="13"/>
  <c r="N11" i="13"/>
  <c r="O11" i="13"/>
  <c r="R11" i="13"/>
  <c r="S11" i="13"/>
  <c r="U11" i="13"/>
  <c r="V11" i="13"/>
  <c r="D12" i="13"/>
  <c r="E12" i="13"/>
  <c r="K12" i="13"/>
  <c r="L12" i="13"/>
  <c r="M12" i="13"/>
  <c r="N12" i="13"/>
  <c r="O12" i="13"/>
  <c r="R12" i="13"/>
  <c r="S12" i="13"/>
  <c r="U12" i="13"/>
  <c r="V12" i="13"/>
  <c r="D8" i="13"/>
  <c r="E8" i="13"/>
  <c r="K8" i="13"/>
  <c r="L8" i="13"/>
  <c r="M8" i="13"/>
  <c r="N8" i="13"/>
  <c r="O8" i="13"/>
  <c r="R8" i="13"/>
  <c r="S8" i="13"/>
  <c r="U8" i="13"/>
  <c r="V8" i="13"/>
  <c r="D9" i="13"/>
  <c r="E9" i="13"/>
  <c r="K9" i="13"/>
  <c r="L9" i="13"/>
  <c r="M9" i="13"/>
  <c r="N9" i="13"/>
  <c r="O9" i="13"/>
  <c r="R9" i="13"/>
  <c r="S9" i="13"/>
  <c r="U9" i="13"/>
  <c r="V9" i="13"/>
  <c r="C45" i="13"/>
  <c r="C44" i="13"/>
  <c r="C42" i="13"/>
  <c r="C41" i="13"/>
  <c r="C39" i="13"/>
  <c r="C38" i="13"/>
  <c r="C36" i="13"/>
  <c r="C35" i="13"/>
  <c r="C33" i="13"/>
  <c r="C32" i="13"/>
  <c r="C30" i="13"/>
  <c r="C29" i="13"/>
  <c r="C21" i="13"/>
  <c r="C20" i="13"/>
  <c r="C18" i="13"/>
  <c r="C17" i="13"/>
  <c r="C15" i="13"/>
  <c r="C14" i="13"/>
  <c r="C12" i="13"/>
  <c r="C11" i="13"/>
  <c r="C9" i="13"/>
  <c r="C8" i="13"/>
  <c r="D6" i="13"/>
  <c r="E6" i="13"/>
  <c r="K6" i="13"/>
  <c r="L6" i="13"/>
  <c r="M6" i="13"/>
  <c r="N6" i="13"/>
  <c r="O6" i="13"/>
  <c r="R6" i="13"/>
  <c r="S6" i="13"/>
  <c r="U6" i="13"/>
  <c r="V6" i="13"/>
  <c r="C6" i="13"/>
  <c r="D5" i="13"/>
  <c r="E5" i="13"/>
  <c r="K5" i="13"/>
  <c r="L5" i="13"/>
  <c r="M5" i="13"/>
  <c r="N5" i="13"/>
  <c r="O5" i="13"/>
  <c r="R5" i="13"/>
  <c r="S5" i="13"/>
  <c r="U5" i="13"/>
  <c r="V5" i="13"/>
  <c r="C5" i="13"/>
  <c r="T28" i="8" l="1"/>
  <c r="AD50" i="8" l="1"/>
  <c r="AC50" i="8"/>
  <c r="AB50" i="8"/>
  <c r="AA50" i="8"/>
  <c r="Z50" i="8"/>
  <c r="AD48" i="8"/>
  <c r="AC48" i="8"/>
  <c r="AB48" i="8"/>
  <c r="AA48" i="8"/>
  <c r="Z48" i="8"/>
  <c r="AD43" i="8"/>
  <c r="AC43" i="8"/>
  <c r="AD45" i="8"/>
  <c r="AC45" i="8"/>
  <c r="AB45" i="8"/>
  <c r="AA45" i="8"/>
  <c r="Z45" i="8"/>
  <c r="Z43" i="8"/>
  <c r="AD40" i="8"/>
  <c r="AC40" i="8"/>
  <c r="AB40" i="8"/>
  <c r="AA40" i="8"/>
  <c r="Z40" i="8"/>
  <c r="AD38" i="8"/>
  <c r="AC38" i="8"/>
  <c r="AB38" i="8"/>
  <c r="AA38" i="8"/>
  <c r="Z38" i="8"/>
  <c r="AD35" i="8"/>
  <c r="AC35" i="8"/>
  <c r="AB35" i="8"/>
  <c r="AA35" i="8"/>
  <c r="Z35" i="8"/>
  <c r="AD33" i="8"/>
  <c r="AC33" i="8"/>
  <c r="AB33" i="8"/>
  <c r="AA33" i="8"/>
  <c r="Z33" i="8"/>
  <c r="AD30" i="8"/>
  <c r="AC30" i="8"/>
  <c r="Z30" i="8"/>
  <c r="AD28" i="8"/>
  <c r="AC28" i="8"/>
  <c r="AB28" i="8"/>
  <c r="AA28" i="8"/>
  <c r="Z28" i="8"/>
  <c r="AD25" i="8"/>
  <c r="AC25" i="8"/>
  <c r="AB25" i="8"/>
  <c r="AA25" i="8"/>
  <c r="Z25" i="8"/>
  <c r="AD23" i="8"/>
  <c r="AC23" i="8"/>
  <c r="AB23" i="8"/>
  <c r="AA23" i="8"/>
  <c r="Z23" i="8"/>
  <c r="X50" i="8"/>
  <c r="X48" i="8"/>
  <c r="W48" i="8"/>
  <c r="V48" i="8"/>
  <c r="U48" i="8"/>
  <c r="T48" i="8"/>
  <c r="X45" i="8"/>
  <c r="W45" i="8"/>
  <c r="V45" i="8"/>
  <c r="U45" i="8"/>
  <c r="T45" i="8"/>
  <c r="S45" i="8"/>
  <c r="X43" i="8"/>
  <c r="W43" i="8"/>
  <c r="V43" i="8"/>
  <c r="U43" i="8"/>
  <c r="T43" i="8"/>
  <c r="S43" i="8"/>
  <c r="X40" i="8"/>
  <c r="W40" i="8"/>
  <c r="V40" i="8"/>
  <c r="U40" i="8"/>
  <c r="T40" i="8"/>
  <c r="S40" i="8"/>
  <c r="X38" i="8"/>
  <c r="W38" i="8"/>
  <c r="V38" i="8"/>
  <c r="U38" i="8"/>
  <c r="T38" i="8"/>
  <c r="S38" i="8"/>
  <c r="X35" i="8"/>
  <c r="W35" i="8"/>
  <c r="V35" i="8"/>
  <c r="U35" i="8"/>
  <c r="T35" i="8"/>
  <c r="S35" i="8"/>
  <c r="X33" i="8"/>
  <c r="W33" i="8"/>
  <c r="V33" i="8"/>
  <c r="U33" i="8"/>
  <c r="T33" i="8"/>
  <c r="S33" i="8"/>
  <c r="X30" i="8"/>
  <c r="W30" i="8"/>
  <c r="V30" i="8"/>
  <c r="U30" i="8"/>
  <c r="T30" i="8"/>
  <c r="S30" i="8"/>
  <c r="X28" i="8"/>
  <c r="W28" i="8"/>
  <c r="V28" i="8"/>
  <c r="U28" i="8"/>
  <c r="S28" i="8"/>
  <c r="X25" i="8"/>
  <c r="W25" i="8"/>
  <c r="V25" i="8"/>
  <c r="U25" i="8"/>
  <c r="T25" i="8"/>
  <c r="S25" i="8"/>
  <c r="X23" i="8"/>
  <c r="W23" i="8"/>
  <c r="V23" i="8"/>
  <c r="U23" i="8"/>
  <c r="T23" i="8"/>
  <c r="S23" i="8"/>
  <c r="X13" i="8"/>
  <c r="W13" i="8"/>
  <c r="V13" i="8"/>
  <c r="X11" i="8"/>
  <c r="W11" i="8"/>
  <c r="V11" i="8"/>
  <c r="AD13" i="8"/>
  <c r="AC13" i="8"/>
  <c r="AB13" i="8"/>
  <c r="AA13" i="8"/>
  <c r="Z13" i="8"/>
  <c r="AD11" i="8"/>
  <c r="AC11" i="8"/>
  <c r="AB11" i="8"/>
  <c r="AA11" i="8"/>
  <c r="Z11" i="8"/>
  <c r="AD8" i="8"/>
  <c r="AC8" i="8"/>
  <c r="AB8" i="8"/>
  <c r="AA8" i="8"/>
  <c r="Z8" i="8"/>
  <c r="AD6" i="8"/>
  <c r="AC6" i="8"/>
  <c r="AB6" i="8"/>
  <c r="AA6" i="8"/>
  <c r="Z6" i="8"/>
  <c r="X8" i="8"/>
  <c r="W8" i="8"/>
  <c r="V8" i="8"/>
  <c r="X6" i="8"/>
  <c r="W6" i="8"/>
  <c r="V6" i="8"/>
  <c r="AD16" i="8"/>
  <c r="AC16" i="8"/>
  <c r="AB16" i="8"/>
  <c r="L6" i="8"/>
  <c r="K6" i="8"/>
  <c r="J6" i="8"/>
  <c r="I6" i="8"/>
  <c r="H6" i="8"/>
  <c r="L8" i="8"/>
  <c r="K8" i="8"/>
  <c r="J8" i="8"/>
  <c r="I8" i="8"/>
  <c r="H8" i="8"/>
  <c r="L11" i="8"/>
  <c r="K11" i="8"/>
  <c r="J11" i="8"/>
  <c r="I11" i="8"/>
  <c r="H11" i="8"/>
  <c r="L13" i="8"/>
  <c r="K13" i="8"/>
  <c r="J13" i="8"/>
  <c r="I13" i="8"/>
  <c r="H13" i="8"/>
  <c r="L16" i="8"/>
  <c r="K16" i="8"/>
  <c r="J16" i="8"/>
  <c r="I16" i="8"/>
  <c r="F16" i="8"/>
  <c r="E16" i="8"/>
  <c r="D16" i="8"/>
  <c r="C16" i="8"/>
  <c r="B16" i="8"/>
  <c r="F13" i="8"/>
  <c r="E13" i="8"/>
  <c r="D13" i="8"/>
  <c r="C13" i="8"/>
  <c r="B13" i="8"/>
  <c r="F11" i="8"/>
  <c r="E11" i="8"/>
  <c r="D11" i="8"/>
  <c r="C11" i="8"/>
  <c r="B11" i="8"/>
  <c r="F8" i="8"/>
  <c r="E8" i="8"/>
  <c r="D8" i="8"/>
  <c r="C8" i="8"/>
  <c r="B8" i="8"/>
  <c r="F6" i="8"/>
  <c r="E6" i="8"/>
  <c r="D6" i="8"/>
  <c r="C6" i="8"/>
  <c r="B6" i="8"/>
  <c r="T6" i="8"/>
  <c r="S6" i="8"/>
  <c r="R6" i="8"/>
  <c r="Q6" i="8"/>
  <c r="P6" i="8"/>
  <c r="O6" i="8"/>
  <c r="N6" i="8"/>
  <c r="T8" i="8"/>
  <c r="S8" i="8"/>
  <c r="R8" i="8"/>
  <c r="Q8" i="8"/>
  <c r="P8" i="8"/>
  <c r="O8" i="8"/>
  <c r="N8" i="8"/>
  <c r="T11" i="8"/>
  <c r="S11" i="8"/>
  <c r="R11" i="8"/>
  <c r="Q11" i="8"/>
  <c r="P11" i="8"/>
  <c r="O11" i="8"/>
  <c r="N11" i="8"/>
  <c r="T13" i="8"/>
  <c r="S13" i="8"/>
  <c r="R13" i="8"/>
  <c r="Q13" i="8"/>
  <c r="P13" i="8"/>
  <c r="O13" i="8"/>
  <c r="N13" i="8"/>
  <c r="T16" i="8"/>
  <c r="S16" i="8"/>
  <c r="K47" i="8"/>
  <c r="J47" i="8"/>
  <c r="I47" i="8"/>
  <c r="H47" i="8"/>
  <c r="K45" i="8"/>
  <c r="J45" i="8"/>
  <c r="I45" i="8"/>
  <c r="H45" i="8"/>
  <c r="M42" i="8"/>
  <c r="L42" i="8"/>
  <c r="K42" i="8"/>
  <c r="J42" i="8"/>
  <c r="I42" i="8"/>
  <c r="H42" i="8"/>
  <c r="M40" i="8"/>
  <c r="L40" i="8"/>
  <c r="K40" i="8"/>
  <c r="J40" i="8"/>
  <c r="I40" i="8"/>
  <c r="H40" i="8"/>
  <c r="F40" i="8"/>
  <c r="E40" i="8"/>
  <c r="D40" i="8"/>
  <c r="C40" i="8"/>
  <c r="B40" i="8"/>
  <c r="M37" i="8"/>
  <c r="L37" i="8"/>
  <c r="K37" i="8"/>
  <c r="J37" i="8"/>
  <c r="I37" i="8"/>
  <c r="H37" i="8"/>
  <c r="M35" i="8"/>
  <c r="L35" i="8"/>
  <c r="K35" i="8"/>
  <c r="J35" i="8"/>
  <c r="I35" i="8"/>
  <c r="H35" i="8"/>
  <c r="F37" i="8"/>
  <c r="E37" i="8"/>
  <c r="D37" i="8"/>
  <c r="C37" i="8"/>
  <c r="B37" i="8"/>
  <c r="F35" i="8"/>
  <c r="E35" i="8"/>
  <c r="D35" i="8"/>
  <c r="C35" i="8"/>
  <c r="B35" i="8"/>
  <c r="K32" i="8"/>
  <c r="J32" i="8"/>
  <c r="I32" i="8"/>
  <c r="H32" i="8"/>
  <c r="K30" i="8"/>
  <c r="J30" i="8"/>
  <c r="I30" i="8"/>
  <c r="H30" i="8"/>
  <c r="F32" i="8"/>
  <c r="E32" i="8"/>
  <c r="D32" i="8"/>
  <c r="C32" i="8"/>
  <c r="B32" i="8"/>
  <c r="F30" i="8"/>
  <c r="E30" i="8"/>
  <c r="D30" i="8"/>
  <c r="C30" i="8"/>
  <c r="B30" i="8"/>
  <c r="F27" i="8"/>
  <c r="E27" i="8"/>
  <c r="D27" i="8"/>
  <c r="C27" i="8"/>
  <c r="B27" i="8"/>
  <c r="F25" i="8"/>
  <c r="E25" i="8"/>
  <c r="D25" i="8"/>
  <c r="C25" i="8"/>
  <c r="B25" i="8"/>
  <c r="M27" i="8"/>
  <c r="L27" i="8"/>
  <c r="K27" i="8"/>
  <c r="J27" i="8"/>
  <c r="I27" i="8"/>
  <c r="H27" i="8"/>
  <c r="M25" i="8"/>
  <c r="L25" i="8"/>
  <c r="K25" i="8"/>
  <c r="J25" i="8"/>
  <c r="I25" i="8"/>
  <c r="H25" i="8"/>
  <c r="M22" i="8"/>
  <c r="L22" i="8"/>
  <c r="K22" i="8"/>
  <c r="J22" i="8"/>
  <c r="I22" i="8"/>
  <c r="H22" i="8"/>
  <c r="M20" i="8"/>
  <c r="L20" i="8"/>
  <c r="K20" i="8"/>
  <c r="J20" i="8"/>
  <c r="I20" i="8"/>
  <c r="H20" i="8"/>
  <c r="F22" i="8"/>
  <c r="E22" i="8"/>
  <c r="D22" i="8"/>
  <c r="C22" i="8"/>
  <c r="B22" i="8"/>
  <c r="F20" i="8"/>
  <c r="E20" i="8"/>
  <c r="D20" i="8"/>
  <c r="C20" i="8"/>
  <c r="B20" i="8"/>
  <c r="F42" i="8"/>
  <c r="E42" i="8"/>
  <c r="D42" i="8"/>
  <c r="C42" i="8"/>
  <c r="B42" i="8"/>
  <c r="F45" i="8"/>
  <c r="E45" i="8"/>
  <c r="D45" i="8"/>
  <c r="C45" i="8"/>
  <c r="B45" i="8"/>
  <c r="F47" i="8"/>
  <c r="E47" i="8"/>
  <c r="D47" i="8"/>
  <c r="C47" i="8"/>
  <c r="B47" i="8"/>
  <c r="F50" i="8"/>
  <c r="E50" i="8"/>
  <c r="D50" i="8"/>
  <c r="C50" i="8"/>
  <c r="B50" i="8"/>
  <c r="H50" i="8"/>
  <c r="I50" i="8"/>
  <c r="J50" i="8"/>
  <c r="K50" i="8"/>
  <c r="L50" i="8"/>
  <c r="L48" i="5"/>
  <c r="Z46" i="5" l="1"/>
  <c r="Y46" i="5"/>
  <c r="X46" i="5"/>
  <c r="W46" i="5"/>
  <c r="V46" i="5"/>
  <c r="U46" i="5"/>
  <c r="Z44" i="5"/>
  <c r="Y44" i="5"/>
  <c r="X44" i="5"/>
  <c r="W44" i="5"/>
  <c r="V44" i="5"/>
  <c r="U44" i="5"/>
  <c r="AF46" i="5"/>
  <c r="AE46" i="5"/>
  <c r="AD46" i="5"/>
  <c r="AC46" i="5"/>
  <c r="AB46" i="5"/>
  <c r="AF44" i="5"/>
  <c r="AE44" i="5"/>
  <c r="AB44" i="5"/>
  <c r="AF41" i="5"/>
  <c r="AE41" i="5"/>
  <c r="AD41" i="5"/>
  <c r="AC41" i="5"/>
  <c r="AB41" i="5"/>
  <c r="AF39" i="5"/>
  <c r="AE39" i="5"/>
  <c r="AD39" i="5"/>
  <c r="AC39" i="5"/>
  <c r="AB39" i="5"/>
  <c r="AF36" i="5"/>
  <c r="AE36" i="5"/>
  <c r="AD36" i="5"/>
  <c r="AC36" i="5"/>
  <c r="AB36" i="5"/>
  <c r="AF34" i="5"/>
  <c r="AE34" i="5"/>
  <c r="AD34" i="5"/>
  <c r="AC34" i="5"/>
  <c r="AB34" i="5"/>
  <c r="AF31" i="5"/>
  <c r="AE31" i="5"/>
  <c r="AB31" i="5"/>
  <c r="Z41" i="5"/>
  <c r="Y41" i="5"/>
  <c r="X41" i="5"/>
  <c r="W41" i="5"/>
  <c r="V41" i="5"/>
  <c r="U41" i="5"/>
  <c r="Z39" i="5"/>
  <c r="Y39" i="5"/>
  <c r="X39" i="5"/>
  <c r="W39" i="5"/>
  <c r="V39" i="5"/>
  <c r="U39" i="5"/>
  <c r="Z36" i="5"/>
  <c r="Y36" i="5"/>
  <c r="X36" i="5"/>
  <c r="W36" i="5"/>
  <c r="V36" i="5"/>
  <c r="U36" i="5"/>
  <c r="Z34" i="5"/>
  <c r="Y34" i="5"/>
  <c r="X34" i="5"/>
  <c r="W34" i="5"/>
  <c r="V34" i="5"/>
  <c r="U34" i="5"/>
  <c r="Z31" i="5"/>
  <c r="Y31" i="5"/>
  <c r="X31" i="5"/>
  <c r="W31" i="5"/>
  <c r="V31" i="5"/>
  <c r="U31" i="5"/>
  <c r="Z29" i="5"/>
  <c r="Y29" i="5"/>
  <c r="X29" i="5"/>
  <c r="W29" i="5"/>
  <c r="V29" i="5"/>
  <c r="U29" i="5"/>
  <c r="AF29" i="5"/>
  <c r="AE29" i="5"/>
  <c r="AD29" i="5"/>
  <c r="AC29" i="5"/>
  <c r="AB29" i="5"/>
  <c r="AF26" i="5"/>
  <c r="AE26" i="5"/>
  <c r="AD26" i="5"/>
  <c r="AC26" i="5"/>
  <c r="AB26" i="5"/>
  <c r="AF24" i="5"/>
  <c r="AE24" i="5"/>
  <c r="AD24" i="5"/>
  <c r="AC24" i="5"/>
  <c r="AB24" i="5"/>
  <c r="Z26" i="5"/>
  <c r="Y26" i="5"/>
  <c r="X26" i="5"/>
  <c r="W26" i="5"/>
  <c r="V26" i="5"/>
  <c r="U26" i="5"/>
  <c r="Z24" i="5"/>
  <c r="Y24" i="5"/>
  <c r="X24" i="5"/>
  <c r="W24" i="5"/>
  <c r="V24" i="5"/>
  <c r="U24" i="5"/>
  <c r="AF51" i="5"/>
  <c r="AE51" i="5"/>
  <c r="AD51" i="5"/>
  <c r="AC51" i="5"/>
  <c r="AB51" i="5"/>
  <c r="AF49" i="5"/>
  <c r="AE49" i="5"/>
  <c r="AD49" i="5"/>
  <c r="AC49" i="5"/>
  <c r="AB49" i="5"/>
  <c r="Z51" i="5"/>
  <c r="Z49" i="5"/>
  <c r="Y49" i="5"/>
  <c r="X49" i="5"/>
  <c r="W49" i="5"/>
  <c r="V49" i="5"/>
  <c r="AF17" i="5"/>
  <c r="AE17" i="5"/>
  <c r="AF14" i="5"/>
  <c r="AE14" i="5"/>
  <c r="AD14" i="5"/>
  <c r="AC14" i="5"/>
  <c r="AB14" i="5"/>
  <c r="AF12" i="5"/>
  <c r="AE12" i="5"/>
  <c r="AD12" i="5"/>
  <c r="AC12" i="5"/>
  <c r="AB12" i="5"/>
  <c r="AF9" i="5"/>
  <c r="AE9" i="5"/>
  <c r="AD9" i="5"/>
  <c r="AC9" i="5"/>
  <c r="AB9" i="5"/>
  <c r="AF7" i="5"/>
  <c r="AE7" i="5"/>
  <c r="AD7" i="5"/>
  <c r="AC7" i="5"/>
  <c r="AB7" i="5"/>
  <c r="Z9" i="5"/>
  <c r="Y9" i="5"/>
  <c r="X9" i="5"/>
  <c r="W9" i="5"/>
  <c r="V9" i="5"/>
  <c r="Z7" i="5"/>
  <c r="Y7" i="5"/>
  <c r="X7" i="5"/>
  <c r="W7" i="5"/>
  <c r="V7" i="5"/>
  <c r="Z12" i="5"/>
  <c r="Y12" i="5"/>
  <c r="X12" i="5"/>
  <c r="W12" i="5"/>
  <c r="V12" i="5"/>
  <c r="Z14" i="5"/>
  <c r="Y14" i="5"/>
  <c r="X14" i="5"/>
  <c r="W14" i="5"/>
  <c r="V14" i="5"/>
  <c r="X17" i="5"/>
  <c r="W17" i="5"/>
  <c r="V17" i="5"/>
  <c r="L12" i="5"/>
  <c r="K12" i="5"/>
  <c r="J12" i="5"/>
  <c r="I12" i="5"/>
  <c r="H12" i="5"/>
  <c r="L17" i="5"/>
  <c r="F17" i="5"/>
  <c r="E17" i="5"/>
  <c r="D17" i="5"/>
  <c r="C17" i="5"/>
  <c r="B17" i="5"/>
  <c r="F14" i="5"/>
  <c r="E14" i="5"/>
  <c r="D14" i="5"/>
  <c r="C14" i="5"/>
  <c r="B14" i="5"/>
  <c r="F12" i="5"/>
  <c r="E12" i="5"/>
  <c r="D12" i="5"/>
  <c r="C12" i="5"/>
  <c r="B12" i="5"/>
  <c r="F9" i="5"/>
  <c r="E9" i="5"/>
  <c r="D9" i="5"/>
  <c r="C9" i="5"/>
  <c r="B9" i="5"/>
  <c r="F7" i="5"/>
  <c r="E7" i="5"/>
  <c r="D7" i="5"/>
  <c r="C7" i="5"/>
  <c r="B7" i="5"/>
  <c r="L9" i="5"/>
  <c r="K9" i="5"/>
  <c r="J9" i="5"/>
  <c r="I9" i="5"/>
  <c r="H9" i="5"/>
  <c r="L7" i="5"/>
  <c r="K7" i="5"/>
  <c r="J7" i="5"/>
  <c r="I7" i="5"/>
  <c r="H7" i="5"/>
  <c r="S7" i="5"/>
  <c r="R7" i="5"/>
  <c r="Q7" i="5"/>
  <c r="P7" i="5"/>
  <c r="O7" i="5"/>
  <c r="S9" i="5"/>
  <c r="R9" i="5"/>
  <c r="Q9" i="5"/>
  <c r="P9" i="5"/>
  <c r="O9" i="5"/>
  <c r="S12" i="5"/>
  <c r="R12" i="5"/>
  <c r="Q12" i="5"/>
  <c r="P12" i="5"/>
  <c r="O12" i="5"/>
  <c r="S14" i="5"/>
  <c r="R14" i="5"/>
  <c r="Q14" i="5"/>
  <c r="P14" i="5"/>
  <c r="O14" i="5"/>
  <c r="L14" i="5"/>
  <c r="K14" i="5"/>
  <c r="J14" i="5"/>
  <c r="I14" i="5"/>
  <c r="H14" i="5"/>
  <c r="K17" i="5"/>
  <c r="J17" i="5"/>
  <c r="I17" i="5"/>
  <c r="G43" i="5"/>
  <c r="F43" i="5"/>
  <c r="E43" i="5"/>
  <c r="G41" i="5"/>
  <c r="E41" i="5"/>
  <c r="C48" i="5"/>
  <c r="C47" i="5"/>
  <c r="C46" i="5"/>
  <c r="C45" i="5"/>
  <c r="C43" i="5"/>
  <c r="C42" i="5"/>
  <c r="C41" i="5"/>
  <c r="C40" i="5"/>
  <c r="C39" i="5"/>
  <c r="C38" i="5"/>
  <c r="C37" i="5"/>
  <c r="C36" i="5"/>
  <c r="C35" i="5"/>
  <c r="C28" i="5"/>
  <c r="C27" i="5"/>
  <c r="C26" i="5"/>
  <c r="C25" i="5"/>
  <c r="C24" i="5"/>
  <c r="C23" i="5"/>
  <c r="C22" i="5"/>
  <c r="C21" i="5"/>
  <c r="C20" i="5"/>
  <c r="G33" i="5"/>
  <c r="F33" i="5"/>
  <c r="E33" i="5"/>
  <c r="G31" i="5"/>
  <c r="F31" i="5"/>
  <c r="E31" i="5"/>
  <c r="G28" i="5"/>
  <c r="F28" i="5"/>
  <c r="E28" i="5"/>
  <c r="G26" i="5"/>
  <c r="F26" i="5"/>
  <c r="E26" i="5"/>
  <c r="G23" i="5"/>
  <c r="F23" i="5"/>
  <c r="E23" i="5"/>
  <c r="G21" i="5"/>
  <c r="F21" i="5"/>
  <c r="E21" i="5"/>
  <c r="N23" i="5"/>
  <c r="M23" i="5"/>
  <c r="L23" i="5"/>
  <c r="K23" i="5"/>
  <c r="J23" i="5"/>
  <c r="I23" i="5"/>
  <c r="N21" i="5"/>
  <c r="M21" i="5"/>
  <c r="L21" i="5"/>
  <c r="K21" i="5"/>
  <c r="J21" i="5"/>
  <c r="I21" i="5"/>
  <c r="N28" i="5"/>
  <c r="M28" i="5"/>
  <c r="L28" i="5"/>
  <c r="K28" i="5"/>
  <c r="J28" i="5"/>
  <c r="I28" i="5"/>
  <c r="N26" i="5"/>
  <c r="M26" i="5"/>
  <c r="L26" i="5"/>
  <c r="K26" i="5"/>
  <c r="J26" i="5"/>
  <c r="I26" i="5"/>
  <c r="M33" i="5"/>
  <c r="L33" i="5"/>
  <c r="K33" i="5"/>
  <c r="J33" i="5"/>
  <c r="M31" i="5"/>
  <c r="L31" i="5"/>
  <c r="K31" i="5"/>
  <c r="J31" i="5"/>
  <c r="N38" i="5"/>
  <c r="M38" i="5"/>
  <c r="L38" i="5"/>
  <c r="K38" i="5"/>
  <c r="J38" i="5"/>
  <c r="I38" i="5"/>
  <c r="N36" i="5"/>
  <c r="M36" i="5"/>
  <c r="L36" i="5"/>
  <c r="K36" i="5"/>
  <c r="J36" i="5"/>
  <c r="I36" i="5"/>
  <c r="G36" i="5"/>
  <c r="F36" i="5"/>
  <c r="E36" i="5"/>
  <c r="G38" i="5"/>
  <c r="F38" i="5"/>
  <c r="E38" i="5"/>
  <c r="F41" i="5"/>
  <c r="N41" i="5"/>
  <c r="M41" i="5"/>
  <c r="L41" i="5"/>
  <c r="K41" i="5"/>
  <c r="J41" i="5"/>
  <c r="I41" i="5"/>
  <c r="N43" i="5"/>
  <c r="M43" i="5"/>
  <c r="L43" i="5"/>
  <c r="K43" i="5"/>
  <c r="J43" i="5"/>
  <c r="I43" i="5"/>
  <c r="L46" i="5"/>
  <c r="K46" i="5"/>
  <c r="J46" i="5"/>
  <c r="I46" i="5"/>
  <c r="G46" i="5"/>
  <c r="F46" i="5"/>
  <c r="E46" i="5"/>
  <c r="G48" i="5"/>
  <c r="F48" i="5"/>
  <c r="E48" i="5"/>
  <c r="I48" i="5"/>
  <c r="J48" i="5"/>
  <c r="K48" i="5"/>
  <c r="S30" i="16" l="1"/>
  <c r="S32" i="16" s="1"/>
</calcChain>
</file>

<file path=xl/sharedStrings.xml><?xml version="1.0" encoding="utf-8"?>
<sst xmlns="http://schemas.openxmlformats.org/spreadsheetml/2006/main" count="3314" uniqueCount="1900">
  <si>
    <t>출입문</t>
    <phoneticPr fontId="6" type="noConversion"/>
  </si>
  <si>
    <t>출
입
문</t>
    <phoneticPr fontId="6" type="noConversion"/>
  </si>
  <si>
    <t>이름</t>
    <phoneticPr fontId="6" type="noConversion"/>
  </si>
  <si>
    <t>성별</t>
    <phoneticPr fontId="6" type="noConversion"/>
  </si>
  <si>
    <t>사용법</t>
    <phoneticPr fontId="6" type="noConversion"/>
  </si>
  <si>
    <t>비고</t>
    <phoneticPr fontId="6" type="noConversion"/>
  </si>
  <si>
    <t>학번</t>
    <phoneticPr fontId="6" type="noConversion"/>
  </si>
  <si>
    <t>HR</t>
    <phoneticPr fontId="6" type="noConversion"/>
  </si>
  <si>
    <t>2A109</t>
  </si>
  <si>
    <t>2A107</t>
  </si>
  <si>
    <t>2A108</t>
  </si>
  <si>
    <t>벽</t>
    <phoneticPr fontId="6" type="noConversion"/>
  </si>
  <si>
    <t>주 출입구</t>
    <phoneticPr fontId="6" type="noConversion"/>
  </si>
  <si>
    <t>2B28</t>
  </si>
  <si>
    <t>2D122</t>
  </si>
  <si>
    <t>2D121</t>
  </si>
  <si>
    <t>2D120</t>
  </si>
  <si>
    <t>2D119</t>
  </si>
  <si>
    <t>2D118</t>
  </si>
  <si>
    <t>2D117</t>
  </si>
  <si>
    <t>2D116</t>
  </si>
  <si>
    <t>2D115</t>
  </si>
  <si>
    <t>2D114</t>
  </si>
  <si>
    <t>2D113</t>
  </si>
  <si>
    <t>2D112</t>
  </si>
  <si>
    <t>2D111</t>
  </si>
  <si>
    <t>2D110</t>
  </si>
  <si>
    <t>2D109</t>
  </si>
  <si>
    <t>2D108</t>
  </si>
  <si>
    <t>2D107</t>
  </si>
  <si>
    <t>2D106</t>
  </si>
  <si>
    <t>2D105</t>
  </si>
  <si>
    <t>2D104</t>
  </si>
  <si>
    <t>2D103</t>
  </si>
  <si>
    <t>2D102</t>
  </si>
  <si>
    <t>2D101</t>
  </si>
  <si>
    <t>2D100</t>
  </si>
  <si>
    <t>2D099</t>
  </si>
  <si>
    <t>2D098</t>
  </si>
  <si>
    <t>2D097</t>
  </si>
  <si>
    <t>2D096</t>
  </si>
  <si>
    <t>2D095</t>
  </si>
  <si>
    <t>2D094</t>
  </si>
  <si>
    <t>2D093</t>
  </si>
  <si>
    <t>2D092</t>
  </si>
  <si>
    <t>2D091</t>
  </si>
  <si>
    <t>2D090</t>
  </si>
  <si>
    <t>2D089</t>
  </si>
  <si>
    <t>2D088</t>
  </si>
  <si>
    <t>2D087</t>
  </si>
  <si>
    <t>2D086</t>
  </si>
  <si>
    <t>2D085</t>
  </si>
  <si>
    <t>2D084</t>
  </si>
  <si>
    <t>2D083</t>
  </si>
  <si>
    <t>2D082</t>
  </si>
  <si>
    <t>2D081</t>
  </si>
  <si>
    <t>2D080</t>
  </si>
  <si>
    <t>2D079</t>
  </si>
  <si>
    <t>2D078</t>
  </si>
  <si>
    <t>2D077</t>
  </si>
  <si>
    <t>2D076</t>
  </si>
  <si>
    <t>2D075</t>
  </si>
  <si>
    <t>2D074</t>
  </si>
  <si>
    <t>2D073</t>
  </si>
  <si>
    <t>2D072</t>
  </si>
  <si>
    <t>2D071</t>
  </si>
  <si>
    <t>2D070</t>
  </si>
  <si>
    <t>2D069</t>
  </si>
  <si>
    <t>2D068</t>
  </si>
  <si>
    <t>2D067</t>
  </si>
  <si>
    <t>2D066</t>
  </si>
  <si>
    <t>2D065</t>
  </si>
  <si>
    <t>2D064</t>
  </si>
  <si>
    <t>2D063</t>
  </si>
  <si>
    <t>2D062</t>
  </si>
  <si>
    <t>2D061</t>
  </si>
  <si>
    <t>2D060</t>
  </si>
  <si>
    <t>2D059</t>
  </si>
  <si>
    <t>2D058</t>
  </si>
  <si>
    <t>2D057</t>
  </si>
  <si>
    <t>2D056</t>
  </si>
  <si>
    <t>2D055</t>
  </si>
  <si>
    <t>2D054</t>
  </si>
  <si>
    <t>2D053</t>
  </si>
  <si>
    <t>2D052</t>
  </si>
  <si>
    <t>2D051</t>
  </si>
  <si>
    <t>2D050</t>
  </si>
  <si>
    <t>2D049</t>
  </si>
  <si>
    <t>2D048</t>
  </si>
  <si>
    <t>2D047</t>
  </si>
  <si>
    <t>2D046</t>
  </si>
  <si>
    <t>2D045</t>
  </si>
  <si>
    <t>2D044</t>
  </si>
  <si>
    <t>2D043</t>
  </si>
  <si>
    <t>2D042</t>
  </si>
  <si>
    <t>2D041</t>
  </si>
  <si>
    <t>2D040</t>
  </si>
  <si>
    <t>2D039</t>
  </si>
  <si>
    <t>2D038</t>
  </si>
  <si>
    <t>2D037</t>
  </si>
  <si>
    <t>2D036</t>
  </si>
  <si>
    <t>2D035</t>
  </si>
  <si>
    <t>2D034</t>
  </si>
  <si>
    <t>2D033</t>
  </si>
  <si>
    <t>2D032</t>
  </si>
  <si>
    <t>2D031</t>
  </si>
  <si>
    <t>2D030</t>
  </si>
  <si>
    <t>2D029</t>
  </si>
  <si>
    <t>2D028</t>
  </si>
  <si>
    <t>2D027</t>
  </si>
  <si>
    <t>2D026</t>
  </si>
  <si>
    <t>2D025</t>
  </si>
  <si>
    <t>2D024</t>
  </si>
  <si>
    <t>2D023</t>
  </si>
  <si>
    <t>2D022</t>
  </si>
  <si>
    <t>2D021</t>
  </si>
  <si>
    <t>2D020</t>
  </si>
  <si>
    <t>2D019</t>
  </si>
  <si>
    <t>2D018</t>
  </si>
  <si>
    <t>2D017</t>
  </si>
  <si>
    <t>2D016</t>
  </si>
  <si>
    <t>2D015</t>
  </si>
  <si>
    <t>2D014</t>
  </si>
  <si>
    <t>2D013</t>
  </si>
  <si>
    <t>2D012</t>
  </si>
  <si>
    <t>2D011</t>
  </si>
  <si>
    <t>2D010</t>
  </si>
  <si>
    <t>2D009</t>
  </si>
  <si>
    <t>2D008</t>
  </si>
  <si>
    <t>2D007</t>
  </si>
  <si>
    <t>2D006</t>
  </si>
  <si>
    <t>2D005</t>
  </si>
  <si>
    <t>2D004</t>
  </si>
  <si>
    <t>2D003</t>
  </si>
  <si>
    <t>2D002</t>
  </si>
  <si>
    <t>2D001</t>
  </si>
  <si>
    <t>2A101</t>
  </si>
  <si>
    <t>2A102</t>
  </si>
  <si>
    <t>2A103</t>
  </si>
  <si>
    <t>2A104</t>
  </si>
  <si>
    <t>2A105</t>
  </si>
  <si>
    <t>2A106</t>
  </si>
  <si>
    <t>2A110</t>
    <phoneticPr fontId="6" type="noConversion"/>
  </si>
  <si>
    <t>2A111</t>
    <phoneticPr fontId="6" type="noConversion"/>
  </si>
  <si>
    <t>2A112</t>
    <phoneticPr fontId="6" type="noConversion"/>
  </si>
  <si>
    <t>2A113</t>
    <phoneticPr fontId="6" type="noConversion"/>
  </si>
  <si>
    <t>2A114</t>
    <phoneticPr fontId="6" type="noConversion"/>
  </si>
  <si>
    <t>2A115</t>
    <phoneticPr fontId="6" type="noConversion"/>
  </si>
  <si>
    <t>2A116</t>
    <phoneticPr fontId="6" type="noConversion"/>
  </si>
  <si>
    <t>2A117</t>
    <phoneticPr fontId="6" type="noConversion"/>
  </si>
  <si>
    <t>2A118</t>
    <phoneticPr fontId="6" type="noConversion"/>
  </si>
  <si>
    <t>2A119</t>
    <phoneticPr fontId="6" type="noConversion"/>
  </si>
  <si>
    <t>2A120</t>
    <phoneticPr fontId="6" type="noConversion"/>
  </si>
  <si>
    <t>2A121</t>
    <phoneticPr fontId="6" type="noConversion"/>
  </si>
  <si>
    <t>2A122</t>
    <phoneticPr fontId="6" type="noConversion"/>
  </si>
  <si>
    <t>2A100</t>
  </si>
  <si>
    <t>2A099</t>
  </si>
  <si>
    <t>2A098</t>
  </si>
  <si>
    <t>2A097</t>
  </si>
  <si>
    <t>2A096</t>
  </si>
  <si>
    <t>2A095</t>
  </si>
  <si>
    <t>2A094</t>
  </si>
  <si>
    <t>2A093</t>
  </si>
  <si>
    <t>2A092</t>
  </si>
  <si>
    <t>2A091</t>
  </si>
  <si>
    <t>2A090</t>
  </si>
  <si>
    <t>2A089</t>
  </si>
  <si>
    <t>2A088</t>
  </si>
  <si>
    <t>2A087</t>
  </si>
  <si>
    <t>2A086</t>
  </si>
  <si>
    <t>2A085</t>
  </si>
  <si>
    <t>2A084</t>
  </si>
  <si>
    <t>2A083</t>
  </si>
  <si>
    <t>2A082</t>
  </si>
  <si>
    <t>2A081</t>
  </si>
  <si>
    <t>2A080</t>
  </si>
  <si>
    <t>2A079</t>
  </si>
  <si>
    <t>2A078</t>
  </si>
  <si>
    <t>2A077</t>
  </si>
  <si>
    <t>2A076</t>
  </si>
  <si>
    <t>2A075</t>
  </si>
  <si>
    <t>2A074</t>
  </si>
  <si>
    <t>2A073</t>
  </si>
  <si>
    <t>2A072</t>
  </si>
  <si>
    <t>2A071</t>
  </si>
  <si>
    <t>2A070</t>
  </si>
  <si>
    <t>2A069</t>
  </si>
  <si>
    <t>2A068</t>
  </si>
  <si>
    <t>2A067</t>
  </si>
  <si>
    <t>2A066</t>
  </si>
  <si>
    <t>2A065</t>
  </si>
  <si>
    <t>2A064</t>
  </si>
  <si>
    <t>2A063</t>
  </si>
  <si>
    <t>2A062</t>
  </si>
  <si>
    <t>2A061</t>
  </si>
  <si>
    <t>2A060</t>
  </si>
  <si>
    <t>2A059</t>
  </si>
  <si>
    <t>2A058</t>
  </si>
  <si>
    <t>2A057</t>
  </si>
  <si>
    <t>2A056</t>
  </si>
  <si>
    <t>2A055</t>
  </si>
  <si>
    <t>2A054</t>
  </si>
  <si>
    <t>2A053</t>
  </si>
  <si>
    <t>2A052</t>
  </si>
  <si>
    <t>2A051</t>
  </si>
  <si>
    <t>2A050</t>
  </si>
  <si>
    <t>2A049</t>
  </si>
  <si>
    <t>2A048</t>
  </si>
  <si>
    <t>2A047</t>
  </si>
  <si>
    <t>2A046</t>
  </si>
  <si>
    <t>2A045</t>
  </si>
  <si>
    <t>2A044</t>
  </si>
  <si>
    <t>2A043</t>
  </si>
  <si>
    <t>2A042</t>
  </si>
  <si>
    <t>2A041</t>
  </si>
  <si>
    <t>2A040</t>
  </si>
  <si>
    <t>2A039</t>
  </si>
  <si>
    <t>2A038</t>
  </si>
  <si>
    <t>2A037</t>
  </si>
  <si>
    <t>2A036</t>
  </si>
  <si>
    <t>2A035</t>
  </si>
  <si>
    <t>2A034</t>
  </si>
  <si>
    <t>2A033</t>
  </si>
  <si>
    <t>2A032</t>
  </si>
  <si>
    <t>2A031</t>
  </si>
  <si>
    <t>2A030</t>
  </si>
  <si>
    <t>2A029</t>
  </si>
  <si>
    <t>2A028</t>
  </si>
  <si>
    <t>2A027</t>
  </si>
  <si>
    <t>2A026</t>
  </si>
  <si>
    <t>2A025</t>
  </si>
  <si>
    <t>2A024</t>
  </si>
  <si>
    <t>2A023</t>
  </si>
  <si>
    <t>2A022</t>
  </si>
  <si>
    <t>2A021</t>
  </si>
  <si>
    <t>2A020</t>
  </si>
  <si>
    <t>2A019</t>
  </si>
  <si>
    <t>2A018</t>
  </si>
  <si>
    <t>2A017</t>
  </si>
  <si>
    <t>2A016</t>
  </si>
  <si>
    <t>2A015</t>
  </si>
  <si>
    <t>2A014</t>
  </si>
  <si>
    <t>2A013</t>
  </si>
  <si>
    <t>2A012</t>
  </si>
  <si>
    <t>2A011</t>
  </si>
  <si>
    <t>2A010</t>
  </si>
  <si>
    <t>2A009</t>
  </si>
  <si>
    <t>2A008</t>
  </si>
  <si>
    <t>2A007</t>
  </si>
  <si>
    <t>2A006</t>
  </si>
  <si>
    <t>2A005</t>
  </si>
  <si>
    <t>2A004</t>
  </si>
  <si>
    <t>2A003</t>
  </si>
  <si>
    <t>2A002</t>
  </si>
  <si>
    <t>2A001</t>
  </si>
  <si>
    <t>자리번호</t>
    <phoneticPr fontId="6" type="noConversion"/>
  </si>
  <si>
    <t>2A110</t>
  </si>
  <si>
    <t>2A112</t>
  </si>
  <si>
    <t>2A114</t>
  </si>
  <si>
    <t>2A116</t>
  </si>
  <si>
    <t>2A118</t>
  </si>
  <si>
    <t>2A119</t>
  </si>
  <si>
    <t>2A121</t>
  </si>
  <si>
    <t>자율관 2층 배치도</t>
    <phoneticPr fontId="7" type="noConversion"/>
  </si>
  <si>
    <t>출입문</t>
    <phoneticPr fontId="25" type="noConversion"/>
  </si>
  <si>
    <t>4A134</t>
    <phoneticPr fontId="25" type="noConversion"/>
  </si>
  <si>
    <t>4A133</t>
    <phoneticPr fontId="25" type="noConversion"/>
  </si>
  <si>
    <t>4A132</t>
    <phoneticPr fontId="25" type="noConversion"/>
  </si>
  <si>
    <t>4A131</t>
    <phoneticPr fontId="25" type="noConversion"/>
  </si>
  <si>
    <t>4A130</t>
    <phoneticPr fontId="25" type="noConversion"/>
  </si>
  <si>
    <t>4A129</t>
    <phoneticPr fontId="25" type="noConversion"/>
  </si>
  <si>
    <t>4A128</t>
    <phoneticPr fontId="25" type="noConversion"/>
  </si>
  <si>
    <t>4A127</t>
    <phoneticPr fontId="25" type="noConversion"/>
  </si>
  <si>
    <t>4A126</t>
    <phoneticPr fontId="25" type="noConversion"/>
  </si>
  <si>
    <t>4A125</t>
    <phoneticPr fontId="25" type="noConversion"/>
  </si>
  <si>
    <t>4A124</t>
    <phoneticPr fontId="25" type="noConversion"/>
  </si>
  <si>
    <t>4A123</t>
    <phoneticPr fontId="25" type="noConversion"/>
  </si>
  <si>
    <t>4A122</t>
    <phoneticPr fontId="25" type="noConversion"/>
  </si>
  <si>
    <t>4A121</t>
    <phoneticPr fontId="25" type="noConversion"/>
  </si>
  <si>
    <t>4A120</t>
    <phoneticPr fontId="25" type="noConversion"/>
  </si>
  <si>
    <t>4A119</t>
    <phoneticPr fontId="25" type="noConversion"/>
  </si>
  <si>
    <t>4A118</t>
    <phoneticPr fontId="25" type="noConversion"/>
  </si>
  <si>
    <t>4A117</t>
    <phoneticPr fontId="25" type="noConversion"/>
  </si>
  <si>
    <t>4A116</t>
    <phoneticPr fontId="25" type="noConversion"/>
  </si>
  <si>
    <t>4A115</t>
    <phoneticPr fontId="25" type="noConversion"/>
  </si>
  <si>
    <t>4A114</t>
    <phoneticPr fontId="25" type="noConversion"/>
  </si>
  <si>
    <t>4A113</t>
    <phoneticPr fontId="25" type="noConversion"/>
  </si>
  <si>
    <t>4A112</t>
    <phoneticPr fontId="25" type="noConversion"/>
  </si>
  <si>
    <t>4A111</t>
    <phoneticPr fontId="25" type="noConversion"/>
  </si>
  <si>
    <t>4A110</t>
    <phoneticPr fontId="25" type="noConversion"/>
  </si>
  <si>
    <t>4A109</t>
    <phoneticPr fontId="25" type="noConversion"/>
  </si>
  <si>
    <t>4A108</t>
    <phoneticPr fontId="25" type="noConversion"/>
  </si>
  <si>
    <t>4A107</t>
    <phoneticPr fontId="25" type="noConversion"/>
  </si>
  <si>
    <t>4A106</t>
    <phoneticPr fontId="25" type="noConversion"/>
  </si>
  <si>
    <t>4A105</t>
    <phoneticPr fontId="25" type="noConversion"/>
  </si>
  <si>
    <t>4A104</t>
    <phoneticPr fontId="25" type="noConversion"/>
  </si>
  <si>
    <t>4A103</t>
    <phoneticPr fontId="25" type="noConversion"/>
  </si>
  <si>
    <t>4A102</t>
    <phoneticPr fontId="25" type="noConversion"/>
  </si>
  <si>
    <t>4D122</t>
    <phoneticPr fontId="25" type="noConversion"/>
  </si>
  <si>
    <t>4D121</t>
    <phoneticPr fontId="25" type="noConversion"/>
  </si>
  <si>
    <t>4D120</t>
    <phoneticPr fontId="25" type="noConversion"/>
  </si>
  <si>
    <t>4D119</t>
    <phoneticPr fontId="25" type="noConversion"/>
  </si>
  <si>
    <t>4D118</t>
    <phoneticPr fontId="25" type="noConversion"/>
  </si>
  <si>
    <t>4D117</t>
    <phoneticPr fontId="25" type="noConversion"/>
  </si>
  <si>
    <t>4D116</t>
    <phoneticPr fontId="25" type="noConversion"/>
  </si>
  <si>
    <t>4D115</t>
    <phoneticPr fontId="25" type="noConversion"/>
  </si>
  <si>
    <t>4D114</t>
    <phoneticPr fontId="25" type="noConversion"/>
  </si>
  <si>
    <t>4D113</t>
    <phoneticPr fontId="25" type="noConversion"/>
  </si>
  <si>
    <t>4D112</t>
    <phoneticPr fontId="25" type="noConversion"/>
  </si>
  <si>
    <t>4A101</t>
    <phoneticPr fontId="25" type="noConversion"/>
  </si>
  <si>
    <t>4A100</t>
    <phoneticPr fontId="25" type="noConversion"/>
  </si>
  <si>
    <t>4D111</t>
    <phoneticPr fontId="25" type="noConversion"/>
  </si>
  <si>
    <t>4D110</t>
    <phoneticPr fontId="25" type="noConversion"/>
  </si>
  <si>
    <t>4D109</t>
    <phoneticPr fontId="25" type="noConversion"/>
  </si>
  <si>
    <t>4D108</t>
    <phoneticPr fontId="25" type="noConversion"/>
  </si>
  <si>
    <t>4D107</t>
    <phoneticPr fontId="25" type="noConversion"/>
  </si>
  <si>
    <t>4D106</t>
    <phoneticPr fontId="25" type="noConversion"/>
  </si>
  <si>
    <t>4D105</t>
    <phoneticPr fontId="25" type="noConversion"/>
  </si>
  <si>
    <t>4D104</t>
    <phoneticPr fontId="25" type="noConversion"/>
  </si>
  <si>
    <t>4D103</t>
    <phoneticPr fontId="25" type="noConversion"/>
  </si>
  <si>
    <t>4D102</t>
    <phoneticPr fontId="25" type="noConversion"/>
  </si>
  <si>
    <t>4D101</t>
    <phoneticPr fontId="25" type="noConversion"/>
  </si>
  <si>
    <t>출
입
문</t>
    <phoneticPr fontId="25" type="noConversion"/>
  </si>
  <si>
    <t>4D100</t>
    <phoneticPr fontId="25" type="noConversion"/>
  </si>
  <si>
    <t>4A48</t>
  </si>
  <si>
    <t>주 출입구</t>
    <phoneticPr fontId="25" type="noConversion"/>
  </si>
  <si>
    <t>면학관 4층 배치도</t>
    <phoneticPr fontId="7" type="noConversion"/>
  </si>
  <si>
    <t>2B001</t>
    <phoneticPr fontId="6" type="noConversion"/>
  </si>
  <si>
    <t>2B002</t>
    <phoneticPr fontId="6" type="noConversion"/>
  </si>
  <si>
    <t>2B004</t>
  </si>
  <si>
    <t>2B005</t>
  </si>
  <si>
    <t>2B007</t>
  </si>
  <si>
    <t>2B009</t>
  </si>
  <si>
    <t>2B011</t>
  </si>
  <si>
    <t>2B013</t>
  </si>
  <si>
    <t>2B015</t>
  </si>
  <si>
    <t>2B017</t>
  </si>
  <si>
    <t>2B019</t>
  </si>
  <si>
    <t>2B021</t>
  </si>
  <si>
    <t>2B023</t>
  </si>
  <si>
    <t>2B025</t>
  </si>
  <si>
    <t>2B027</t>
  </si>
  <si>
    <t>2B029</t>
  </si>
  <si>
    <t>2B031</t>
  </si>
  <si>
    <t>2B033</t>
  </si>
  <si>
    <t>2B035</t>
  </si>
  <si>
    <t>2B037</t>
  </si>
  <si>
    <t>2B039</t>
  </si>
  <si>
    <t>2B041</t>
  </si>
  <si>
    <t>2B043</t>
  </si>
  <si>
    <t>2B045</t>
  </si>
  <si>
    <t>2B047</t>
  </si>
  <si>
    <t>2B049</t>
  </si>
  <si>
    <t>2B051</t>
  </si>
  <si>
    <t>2B053</t>
  </si>
  <si>
    <t>2B055</t>
  </si>
  <si>
    <t>2B057</t>
  </si>
  <si>
    <t>2B059</t>
  </si>
  <si>
    <t>2B061</t>
  </si>
  <si>
    <t>2B063</t>
  </si>
  <si>
    <t>2B065</t>
  </si>
  <si>
    <t>2B067</t>
  </si>
  <si>
    <t>2B069</t>
  </si>
  <si>
    <t>2B002</t>
    <phoneticPr fontId="6" type="noConversion"/>
  </si>
  <si>
    <t>2B003</t>
    <phoneticPr fontId="6" type="noConversion"/>
  </si>
  <si>
    <t>2B004</t>
    <phoneticPr fontId="6" type="noConversion"/>
  </si>
  <si>
    <t>2B010</t>
    <phoneticPr fontId="6" type="noConversion"/>
  </si>
  <si>
    <t>2B011</t>
    <phoneticPr fontId="6" type="noConversion"/>
  </si>
  <si>
    <t>2B012</t>
    <phoneticPr fontId="6" type="noConversion"/>
  </si>
  <si>
    <t>2B027</t>
    <phoneticPr fontId="6" type="noConversion"/>
  </si>
  <si>
    <t>2B026</t>
    <phoneticPr fontId="6" type="noConversion"/>
  </si>
  <si>
    <t>2B025</t>
    <phoneticPr fontId="6" type="noConversion"/>
  </si>
  <si>
    <t>2B069</t>
    <phoneticPr fontId="6" type="noConversion"/>
  </si>
  <si>
    <t>2B068</t>
    <phoneticPr fontId="6" type="noConversion"/>
  </si>
  <si>
    <t>2B067</t>
    <phoneticPr fontId="6" type="noConversion"/>
  </si>
  <si>
    <t>2B066</t>
    <phoneticPr fontId="6" type="noConversion"/>
  </si>
  <si>
    <t>2B065</t>
    <phoneticPr fontId="6" type="noConversion"/>
  </si>
  <si>
    <t>2B064</t>
    <phoneticPr fontId="6" type="noConversion"/>
  </si>
  <si>
    <t>2B063</t>
    <phoneticPr fontId="6" type="noConversion"/>
  </si>
  <si>
    <t>2B062</t>
    <phoneticPr fontId="6" type="noConversion"/>
  </si>
  <si>
    <t>2B061</t>
    <phoneticPr fontId="6" type="noConversion"/>
  </si>
  <si>
    <t>2B060</t>
    <phoneticPr fontId="6" type="noConversion"/>
  </si>
  <si>
    <t>2B045</t>
    <phoneticPr fontId="6" type="noConversion"/>
  </si>
  <si>
    <t>2B046</t>
    <phoneticPr fontId="6" type="noConversion"/>
  </si>
  <si>
    <t>2B047</t>
    <phoneticPr fontId="6" type="noConversion"/>
  </si>
  <si>
    <t>2B048</t>
    <phoneticPr fontId="6" type="noConversion"/>
  </si>
  <si>
    <t>2B049</t>
    <phoneticPr fontId="6" type="noConversion"/>
  </si>
  <si>
    <t>2B034</t>
    <phoneticPr fontId="6" type="noConversion"/>
  </si>
  <si>
    <t>2B033</t>
    <phoneticPr fontId="6" type="noConversion"/>
  </si>
  <si>
    <t>2B032</t>
    <phoneticPr fontId="6" type="noConversion"/>
  </si>
  <si>
    <t>2B031</t>
    <phoneticPr fontId="6" type="noConversion"/>
  </si>
  <si>
    <t>2B030</t>
    <phoneticPr fontId="6" type="noConversion"/>
  </si>
  <si>
    <t>2B015</t>
    <phoneticPr fontId="6" type="noConversion"/>
  </si>
  <si>
    <t>2B016</t>
    <phoneticPr fontId="6" type="noConversion"/>
  </si>
  <si>
    <t>2B017</t>
    <phoneticPr fontId="6" type="noConversion"/>
  </si>
  <si>
    <t>2B018</t>
    <phoneticPr fontId="6" type="noConversion"/>
  </si>
  <si>
    <t>2B019</t>
    <phoneticPr fontId="6" type="noConversion"/>
  </si>
  <si>
    <t>2B054</t>
    <phoneticPr fontId="6" type="noConversion"/>
  </si>
  <si>
    <t>2B053</t>
    <phoneticPr fontId="6" type="noConversion"/>
  </si>
  <si>
    <t>2B052</t>
    <phoneticPr fontId="6" type="noConversion"/>
  </si>
  <si>
    <t>2B051</t>
    <phoneticPr fontId="6" type="noConversion"/>
  </si>
  <si>
    <t>2B050</t>
    <phoneticPr fontId="6" type="noConversion"/>
  </si>
  <si>
    <t>2B039</t>
    <phoneticPr fontId="6" type="noConversion"/>
  </si>
  <si>
    <t>2B024</t>
    <phoneticPr fontId="6" type="noConversion"/>
  </si>
  <si>
    <t>2B023</t>
    <phoneticPr fontId="6" type="noConversion"/>
  </si>
  <si>
    <t>2B038</t>
    <phoneticPr fontId="6" type="noConversion"/>
  </si>
  <si>
    <t>2B037</t>
    <phoneticPr fontId="6" type="noConversion"/>
  </si>
  <si>
    <t>2B036</t>
    <phoneticPr fontId="6" type="noConversion"/>
  </si>
  <si>
    <t>2B035</t>
    <phoneticPr fontId="6" type="noConversion"/>
  </si>
  <si>
    <t>2B020</t>
    <phoneticPr fontId="6" type="noConversion"/>
  </si>
  <si>
    <t>2B021</t>
    <phoneticPr fontId="6" type="noConversion"/>
  </si>
  <si>
    <t>2B022</t>
    <phoneticPr fontId="6" type="noConversion"/>
  </si>
  <si>
    <t>2B009</t>
    <phoneticPr fontId="6" type="noConversion"/>
  </si>
  <si>
    <t>2B008</t>
    <phoneticPr fontId="6" type="noConversion"/>
  </si>
  <si>
    <t>2B007</t>
    <phoneticPr fontId="6" type="noConversion"/>
  </si>
  <si>
    <t>2B006</t>
    <phoneticPr fontId="6" type="noConversion"/>
  </si>
  <si>
    <t>2B005</t>
    <phoneticPr fontId="6" type="noConversion"/>
  </si>
  <si>
    <t>2B029</t>
    <phoneticPr fontId="6" type="noConversion"/>
  </si>
  <si>
    <t>2B059</t>
    <phoneticPr fontId="6" type="noConversion"/>
  </si>
  <si>
    <t>2B058</t>
    <phoneticPr fontId="6" type="noConversion"/>
  </si>
  <si>
    <t>2B057</t>
    <phoneticPr fontId="6" type="noConversion"/>
  </si>
  <si>
    <t>2B056</t>
    <phoneticPr fontId="6" type="noConversion"/>
  </si>
  <si>
    <t>2B055</t>
    <phoneticPr fontId="6" type="noConversion"/>
  </si>
  <si>
    <t>2B044</t>
    <phoneticPr fontId="6" type="noConversion"/>
  </si>
  <si>
    <t>2B043</t>
    <phoneticPr fontId="6" type="noConversion"/>
  </si>
  <si>
    <t>2B042</t>
    <phoneticPr fontId="6" type="noConversion"/>
  </si>
  <si>
    <t>2B041</t>
    <phoneticPr fontId="6" type="noConversion"/>
  </si>
  <si>
    <t>2B040</t>
    <phoneticPr fontId="6" type="noConversion"/>
  </si>
  <si>
    <t>2B013</t>
    <phoneticPr fontId="6" type="noConversion"/>
  </si>
  <si>
    <t>2B014</t>
    <phoneticPr fontId="6" type="noConversion"/>
  </si>
  <si>
    <t>2C005</t>
  </si>
  <si>
    <t>2C005</t>
    <phoneticPr fontId="6" type="noConversion"/>
  </si>
  <si>
    <t>2C004</t>
    <phoneticPr fontId="6" type="noConversion"/>
  </si>
  <si>
    <t>2C003</t>
  </si>
  <si>
    <t>2C003</t>
    <phoneticPr fontId="6" type="noConversion"/>
  </si>
  <si>
    <t>2C015</t>
    <phoneticPr fontId="6" type="noConversion"/>
  </si>
  <si>
    <t>2C025</t>
  </si>
  <si>
    <t>2C025</t>
    <phoneticPr fontId="6" type="noConversion"/>
  </si>
  <si>
    <t>2C024</t>
    <phoneticPr fontId="6" type="noConversion"/>
  </si>
  <si>
    <t>2C014</t>
  </si>
  <si>
    <t>2C014</t>
    <phoneticPr fontId="6" type="noConversion"/>
  </si>
  <si>
    <t>2C013</t>
    <phoneticPr fontId="6" type="noConversion"/>
  </si>
  <si>
    <t>2C012</t>
  </si>
  <si>
    <t>2C012</t>
    <phoneticPr fontId="6" type="noConversion"/>
  </si>
  <si>
    <t>2C011</t>
    <phoneticPr fontId="6" type="noConversion"/>
  </si>
  <si>
    <t>2C021</t>
  </si>
  <si>
    <t>2C021</t>
    <phoneticPr fontId="6" type="noConversion"/>
  </si>
  <si>
    <t>2C022</t>
    <phoneticPr fontId="6" type="noConversion"/>
  </si>
  <si>
    <t>2C023</t>
  </si>
  <si>
    <t>2C023</t>
    <phoneticPr fontId="6" type="noConversion"/>
  </si>
  <si>
    <t>2C035</t>
    <phoneticPr fontId="6" type="noConversion"/>
  </si>
  <si>
    <t>2C045</t>
  </si>
  <si>
    <t>2C045</t>
    <phoneticPr fontId="6" type="noConversion"/>
  </si>
  <si>
    <t>2C044</t>
    <phoneticPr fontId="6" type="noConversion"/>
  </si>
  <si>
    <t>2C043</t>
  </si>
  <si>
    <t>2C043</t>
    <phoneticPr fontId="6" type="noConversion"/>
  </si>
  <si>
    <t>2C042</t>
    <phoneticPr fontId="6" type="noConversion"/>
  </si>
  <si>
    <t>2C041</t>
  </si>
  <si>
    <t>2C041</t>
    <phoneticPr fontId="6" type="noConversion"/>
  </si>
  <si>
    <t>2C034</t>
  </si>
  <si>
    <t>2C034</t>
    <phoneticPr fontId="6" type="noConversion"/>
  </si>
  <si>
    <t>2C033</t>
    <phoneticPr fontId="6" type="noConversion"/>
  </si>
  <si>
    <t>2C032</t>
  </si>
  <si>
    <t>2C032</t>
    <phoneticPr fontId="6" type="noConversion"/>
  </si>
  <si>
    <t>2C031</t>
    <phoneticPr fontId="6" type="noConversion"/>
  </si>
  <si>
    <t>2C040</t>
    <phoneticPr fontId="6" type="noConversion"/>
  </si>
  <si>
    <t>2C039</t>
  </si>
  <si>
    <t>2C039</t>
    <phoneticPr fontId="6" type="noConversion"/>
  </si>
  <si>
    <t>2C038</t>
    <phoneticPr fontId="6" type="noConversion"/>
  </si>
  <si>
    <t>2C030</t>
  </si>
  <si>
    <t>2C030</t>
    <phoneticPr fontId="6" type="noConversion"/>
  </si>
  <si>
    <t>2C029</t>
    <phoneticPr fontId="6" type="noConversion"/>
  </si>
  <si>
    <t>2C028</t>
  </si>
  <si>
    <t>2C028</t>
    <phoneticPr fontId="6" type="noConversion"/>
  </si>
  <si>
    <t>2C027</t>
    <phoneticPr fontId="6" type="noConversion"/>
  </si>
  <si>
    <t>2C026</t>
  </si>
  <si>
    <t>2C026</t>
    <phoneticPr fontId="6" type="noConversion"/>
  </si>
  <si>
    <t>2C036</t>
    <phoneticPr fontId="6" type="noConversion"/>
  </si>
  <si>
    <t>2C037</t>
  </si>
  <si>
    <t>2C037</t>
    <phoneticPr fontId="6" type="noConversion"/>
  </si>
  <si>
    <t>2C016</t>
    <phoneticPr fontId="6" type="noConversion"/>
  </si>
  <si>
    <t>2C017</t>
  </si>
  <si>
    <t>2C017</t>
    <phoneticPr fontId="6" type="noConversion"/>
  </si>
  <si>
    <t>2C018</t>
    <phoneticPr fontId="6" type="noConversion"/>
  </si>
  <si>
    <t>2C019</t>
  </si>
  <si>
    <t>2C019</t>
    <phoneticPr fontId="6" type="noConversion"/>
  </si>
  <si>
    <t>2C020</t>
    <phoneticPr fontId="6" type="noConversion"/>
  </si>
  <si>
    <t>2C010</t>
  </si>
  <si>
    <t>2C010</t>
    <phoneticPr fontId="6" type="noConversion"/>
  </si>
  <si>
    <t>2C009</t>
    <phoneticPr fontId="6" type="noConversion"/>
  </si>
  <si>
    <t>2C008</t>
  </si>
  <si>
    <t>2C008</t>
    <phoneticPr fontId="6" type="noConversion"/>
  </si>
  <si>
    <t>2C007</t>
    <phoneticPr fontId="6" type="noConversion"/>
  </si>
  <si>
    <t>2C006</t>
  </si>
  <si>
    <t>2C006</t>
    <phoneticPr fontId="6" type="noConversion"/>
  </si>
  <si>
    <t>2C002</t>
    <phoneticPr fontId="6" type="noConversion"/>
  </si>
  <si>
    <t>2C001</t>
    <phoneticPr fontId="6" type="noConversion"/>
  </si>
  <si>
    <t>2D117</t>
    <phoneticPr fontId="6" type="noConversion"/>
  </si>
  <si>
    <t>4B079</t>
    <phoneticPr fontId="25" type="noConversion"/>
  </si>
  <si>
    <t>4B062</t>
  </si>
  <si>
    <t>4B062</t>
    <phoneticPr fontId="25" type="noConversion"/>
  </si>
  <si>
    <t>4B061</t>
    <phoneticPr fontId="25" type="noConversion"/>
  </si>
  <si>
    <t>4B078</t>
  </si>
  <si>
    <t>4B078</t>
    <phoneticPr fontId="25" type="noConversion"/>
  </si>
  <si>
    <t>4B077</t>
    <phoneticPr fontId="25" type="noConversion"/>
  </si>
  <si>
    <t>4B076</t>
  </si>
  <si>
    <t>4B076</t>
    <phoneticPr fontId="25" type="noConversion"/>
  </si>
  <si>
    <t>4B075</t>
    <phoneticPr fontId="25" type="noConversion"/>
  </si>
  <si>
    <t>4B058</t>
  </si>
  <si>
    <t>4B058</t>
    <phoneticPr fontId="25" type="noConversion"/>
  </si>
  <si>
    <t>4B041</t>
    <phoneticPr fontId="25" type="noConversion"/>
  </si>
  <si>
    <t>4B042</t>
  </si>
  <si>
    <t>4B042</t>
    <phoneticPr fontId="25" type="noConversion"/>
  </si>
  <si>
    <t>4B043</t>
    <phoneticPr fontId="25" type="noConversion"/>
  </si>
  <si>
    <t>4B044</t>
  </si>
  <si>
    <t>4B044</t>
    <phoneticPr fontId="25" type="noConversion"/>
  </si>
  <si>
    <t>4B045</t>
    <phoneticPr fontId="25" type="noConversion"/>
  </si>
  <si>
    <t>4B028</t>
  </si>
  <si>
    <t>4B028</t>
    <phoneticPr fontId="27" type="noConversion"/>
  </si>
  <si>
    <t>4B027</t>
    <phoneticPr fontId="27" type="noConversion"/>
  </si>
  <si>
    <t>4B026</t>
  </si>
  <si>
    <t>4B026</t>
    <phoneticPr fontId="27" type="noConversion"/>
  </si>
  <si>
    <t>4B025</t>
    <phoneticPr fontId="27" type="noConversion"/>
  </si>
  <si>
    <t>4B024</t>
  </si>
  <si>
    <t>4B024</t>
    <phoneticPr fontId="27" type="noConversion"/>
  </si>
  <si>
    <t>4B074</t>
  </si>
  <si>
    <t>4B074</t>
    <phoneticPr fontId="25" type="noConversion"/>
  </si>
  <si>
    <t>4B011</t>
    <phoneticPr fontId="27" type="noConversion"/>
  </si>
  <si>
    <t>4B010</t>
  </si>
  <si>
    <t>4B010</t>
    <phoneticPr fontId="27" type="noConversion"/>
  </si>
  <si>
    <t>4B009</t>
    <phoneticPr fontId="27" type="noConversion"/>
  </si>
  <si>
    <t>4B008</t>
  </si>
  <si>
    <t>4B008</t>
    <phoneticPr fontId="27" type="noConversion"/>
  </si>
  <si>
    <t>4B007</t>
    <phoneticPr fontId="27" type="noConversion"/>
  </si>
  <si>
    <t>4B006</t>
  </si>
  <si>
    <t>4B006</t>
    <phoneticPr fontId="27" type="noConversion"/>
  </si>
  <si>
    <t>4B005</t>
    <phoneticPr fontId="27" type="noConversion"/>
  </si>
  <si>
    <t>4B004</t>
    <phoneticPr fontId="27" type="noConversion"/>
  </si>
  <si>
    <t>4B003</t>
    <phoneticPr fontId="27" type="noConversion"/>
  </si>
  <si>
    <t>4B019</t>
    <phoneticPr fontId="25" type="noConversion"/>
  </si>
  <si>
    <t>4B020</t>
  </si>
  <si>
    <t>4B020</t>
    <phoneticPr fontId="25" type="noConversion"/>
  </si>
  <si>
    <t>4B021</t>
    <phoneticPr fontId="27" type="noConversion"/>
  </si>
  <si>
    <t>4B022</t>
  </si>
  <si>
    <t>4B022</t>
    <phoneticPr fontId="27" type="noConversion"/>
  </si>
  <si>
    <t>4B023</t>
    <phoneticPr fontId="27" type="noConversion"/>
  </si>
  <si>
    <t>4B040</t>
  </si>
  <si>
    <t>4B040</t>
    <phoneticPr fontId="25" type="noConversion"/>
  </si>
  <si>
    <t>4B039</t>
    <phoneticPr fontId="25" type="noConversion"/>
  </si>
  <si>
    <t>4B038</t>
  </si>
  <si>
    <t>4B038</t>
    <phoneticPr fontId="25" type="noConversion"/>
  </si>
  <si>
    <t>4B037</t>
    <phoneticPr fontId="25" type="noConversion"/>
  </si>
  <si>
    <t>4B036</t>
  </si>
  <si>
    <t>4B036</t>
    <phoneticPr fontId="25" type="noConversion"/>
  </si>
  <si>
    <t>4B070</t>
  </si>
  <si>
    <t>4B070</t>
    <phoneticPr fontId="25" type="noConversion"/>
  </si>
  <si>
    <t>4B053</t>
    <phoneticPr fontId="25" type="noConversion"/>
  </si>
  <si>
    <t>4B054</t>
  </si>
  <si>
    <t>4B054</t>
    <phoneticPr fontId="25" type="noConversion"/>
  </si>
  <si>
    <t>4B055</t>
    <phoneticPr fontId="25" type="noConversion"/>
  </si>
  <si>
    <t>4B056</t>
  </si>
  <si>
    <t>4B056</t>
    <phoneticPr fontId="25" type="noConversion"/>
  </si>
  <si>
    <t>4B057</t>
    <phoneticPr fontId="25" type="noConversion"/>
  </si>
  <si>
    <t>4B073</t>
    <phoneticPr fontId="25" type="noConversion"/>
  </si>
  <si>
    <t>4B072</t>
  </si>
  <si>
    <t>4B072</t>
    <phoneticPr fontId="25" type="noConversion"/>
  </si>
  <si>
    <t>4B071</t>
    <phoneticPr fontId="25" type="noConversion"/>
  </si>
  <si>
    <t>4B060</t>
  </si>
  <si>
    <t>4B060</t>
    <phoneticPr fontId="25" type="noConversion"/>
  </si>
  <si>
    <t>4B059</t>
    <phoneticPr fontId="25" type="noConversion"/>
  </si>
  <si>
    <t>4B069</t>
    <phoneticPr fontId="25" type="noConversion"/>
  </si>
  <si>
    <t>4B068</t>
  </si>
  <si>
    <t>4B068</t>
    <phoneticPr fontId="25" type="noConversion"/>
  </si>
  <si>
    <t>4B067</t>
    <phoneticPr fontId="25" type="noConversion"/>
  </si>
  <si>
    <t>4B066</t>
  </si>
  <si>
    <t>4B066</t>
    <phoneticPr fontId="25" type="noConversion"/>
  </si>
  <si>
    <t>4B065</t>
    <phoneticPr fontId="25" type="noConversion"/>
  </si>
  <si>
    <t>4B064</t>
  </si>
  <si>
    <t>4B064</t>
    <phoneticPr fontId="25" type="noConversion"/>
  </si>
  <si>
    <t>4B063</t>
    <phoneticPr fontId="25" type="noConversion"/>
  </si>
  <si>
    <t>4B046</t>
  </si>
  <si>
    <t>4B046</t>
    <phoneticPr fontId="25" type="noConversion"/>
  </si>
  <si>
    <t>4B047</t>
    <phoneticPr fontId="25" type="noConversion"/>
  </si>
  <si>
    <t>4B048</t>
  </si>
  <si>
    <t>4B048</t>
    <phoneticPr fontId="25" type="noConversion"/>
  </si>
  <si>
    <t>4B049</t>
    <phoneticPr fontId="25" type="noConversion"/>
  </si>
  <si>
    <t>4B050</t>
  </si>
  <si>
    <t>4B050</t>
    <phoneticPr fontId="25" type="noConversion"/>
  </si>
  <si>
    <t>4B051</t>
    <phoneticPr fontId="25" type="noConversion"/>
  </si>
  <si>
    <t>4B052</t>
  </si>
  <si>
    <t>4B052</t>
    <phoneticPr fontId="25" type="noConversion"/>
  </si>
  <si>
    <t>4B035</t>
    <phoneticPr fontId="25" type="noConversion"/>
  </si>
  <si>
    <t>4B018</t>
  </si>
  <si>
    <t>4B018</t>
    <phoneticPr fontId="27" type="noConversion"/>
  </si>
  <si>
    <t>4B017</t>
    <phoneticPr fontId="27" type="noConversion"/>
  </si>
  <si>
    <t>4B034</t>
  </si>
  <si>
    <t>4B034</t>
    <phoneticPr fontId="25" type="noConversion"/>
  </si>
  <si>
    <t>4B033</t>
    <phoneticPr fontId="25" type="noConversion"/>
  </si>
  <si>
    <t>4B032</t>
  </si>
  <si>
    <t>4B032</t>
    <phoneticPr fontId="25" type="noConversion"/>
  </si>
  <si>
    <t>4B031</t>
    <phoneticPr fontId="25" type="noConversion"/>
  </si>
  <si>
    <t>4B030</t>
  </si>
  <si>
    <t>4B030</t>
    <phoneticPr fontId="25" type="noConversion"/>
  </si>
  <si>
    <t>4B029</t>
    <phoneticPr fontId="25" type="noConversion"/>
  </si>
  <si>
    <t>4B012</t>
  </si>
  <si>
    <t>4B012</t>
    <phoneticPr fontId="27" type="noConversion"/>
  </si>
  <si>
    <t>4B013</t>
    <phoneticPr fontId="27" type="noConversion"/>
  </si>
  <si>
    <t>4B014</t>
  </si>
  <si>
    <t>4B014</t>
    <phoneticPr fontId="27" type="noConversion"/>
  </si>
  <si>
    <t>4B015</t>
    <phoneticPr fontId="27" type="noConversion"/>
  </si>
  <si>
    <t>4B016</t>
  </si>
  <si>
    <t>4B016</t>
    <phoneticPr fontId="27" type="noConversion"/>
  </si>
  <si>
    <t>4B002</t>
    <phoneticPr fontId="25" type="noConversion"/>
  </si>
  <si>
    <t>4B001</t>
    <phoneticPr fontId="25" type="noConversion"/>
  </si>
  <si>
    <t>4C011</t>
  </si>
  <si>
    <t>4C011</t>
    <phoneticPr fontId="27" type="noConversion"/>
  </si>
  <si>
    <t>4C035</t>
    <phoneticPr fontId="27" type="noConversion"/>
  </si>
  <si>
    <t>4C034</t>
  </si>
  <si>
    <t>4C034</t>
    <phoneticPr fontId="27" type="noConversion"/>
  </si>
  <si>
    <t>4C033</t>
    <phoneticPr fontId="27" type="noConversion"/>
  </si>
  <si>
    <t>4C027</t>
  </si>
  <si>
    <t>4C027</t>
    <phoneticPr fontId="27" type="noConversion"/>
  </si>
  <si>
    <t>4C026</t>
    <phoneticPr fontId="25" type="noConversion"/>
  </si>
  <si>
    <t>4C025</t>
  </si>
  <si>
    <t>4C025</t>
    <phoneticPr fontId="25" type="noConversion"/>
  </si>
  <si>
    <t>4C017</t>
    <phoneticPr fontId="25" type="noConversion"/>
  </si>
  <si>
    <t>4C018</t>
  </si>
  <si>
    <t>4C018</t>
    <phoneticPr fontId="25" type="noConversion"/>
  </si>
  <si>
    <t>4C019</t>
    <phoneticPr fontId="25" type="noConversion"/>
  </si>
  <si>
    <t>4C010</t>
    <phoneticPr fontId="27" type="noConversion"/>
  </si>
  <si>
    <t>4C009</t>
  </si>
  <si>
    <t>4C009</t>
    <phoneticPr fontId="27" type="noConversion"/>
  </si>
  <si>
    <t>4C032</t>
  </si>
  <si>
    <t>4C032</t>
    <phoneticPr fontId="27" type="noConversion"/>
  </si>
  <si>
    <t>4C031</t>
    <phoneticPr fontId="27" type="noConversion"/>
  </si>
  <si>
    <t>4C030</t>
    <phoneticPr fontId="27" type="noConversion"/>
  </si>
  <si>
    <t>4C029</t>
    <phoneticPr fontId="27" type="noConversion"/>
  </si>
  <si>
    <t>4C028</t>
    <phoneticPr fontId="27" type="noConversion"/>
  </si>
  <si>
    <t>4C020</t>
    <phoneticPr fontId="25" type="noConversion"/>
  </si>
  <si>
    <t>4C021</t>
    <phoneticPr fontId="25" type="noConversion"/>
  </si>
  <si>
    <t>4C022</t>
    <phoneticPr fontId="27" type="noConversion"/>
  </si>
  <si>
    <t>4C023</t>
    <phoneticPr fontId="27" type="noConversion"/>
  </si>
  <si>
    <t>4C024</t>
    <phoneticPr fontId="27" type="noConversion"/>
  </si>
  <si>
    <t>4C016</t>
  </si>
  <si>
    <t>4C016</t>
    <phoneticPr fontId="27" type="noConversion"/>
  </si>
  <si>
    <t>4C008</t>
    <phoneticPr fontId="27" type="noConversion"/>
  </si>
  <si>
    <t>4C015</t>
    <phoneticPr fontId="27" type="noConversion"/>
  </si>
  <si>
    <t>4C014</t>
    <phoneticPr fontId="27" type="noConversion"/>
  </si>
  <si>
    <t>4C013</t>
    <phoneticPr fontId="27" type="noConversion"/>
  </si>
  <si>
    <t>4C012</t>
  </si>
  <si>
    <t>4C012</t>
    <phoneticPr fontId="27" type="noConversion"/>
  </si>
  <si>
    <t>4C004</t>
    <phoneticPr fontId="27" type="noConversion"/>
  </si>
  <si>
    <t>4C005</t>
  </si>
  <si>
    <t>4C005</t>
    <phoneticPr fontId="25" type="noConversion"/>
  </si>
  <si>
    <t>4C006</t>
    <phoneticPr fontId="25" type="noConversion"/>
  </si>
  <si>
    <t>4C007</t>
  </si>
  <si>
    <t>4C007</t>
    <phoneticPr fontId="27" type="noConversion"/>
  </si>
  <si>
    <t>4C003</t>
    <phoneticPr fontId="27" type="noConversion"/>
  </si>
  <si>
    <t>4C002</t>
    <phoneticPr fontId="27" type="noConversion"/>
  </si>
  <si>
    <t>4C001</t>
    <phoneticPr fontId="27" type="noConversion"/>
  </si>
  <si>
    <t>4A002</t>
    <phoneticPr fontId="27" type="noConversion"/>
  </si>
  <si>
    <t>4A004</t>
    <phoneticPr fontId="27" type="noConversion"/>
  </si>
  <si>
    <t>4A006</t>
  </si>
  <si>
    <t>4A008</t>
  </si>
  <si>
    <t>4A010</t>
  </si>
  <si>
    <t>4A012</t>
  </si>
  <si>
    <t>4A014</t>
  </si>
  <si>
    <t>4A016</t>
  </si>
  <si>
    <t>4A018</t>
  </si>
  <si>
    <t>4A020</t>
  </si>
  <si>
    <t>4A022</t>
  </si>
  <si>
    <t>4A024</t>
  </si>
  <si>
    <t>4A026</t>
  </si>
  <si>
    <t>4A028</t>
  </si>
  <si>
    <t>4A030</t>
  </si>
  <si>
    <t>4A032</t>
  </si>
  <si>
    <t>4A034</t>
  </si>
  <si>
    <t>4A036</t>
  </si>
  <si>
    <t>4A038</t>
  </si>
  <si>
    <t>4A040</t>
  </si>
  <si>
    <t>4A042</t>
  </si>
  <si>
    <t>4A044</t>
  </si>
  <si>
    <t>4A046</t>
  </si>
  <si>
    <t>4A048</t>
  </si>
  <si>
    <t>4A050</t>
  </si>
  <si>
    <t>4A052</t>
  </si>
  <si>
    <t>4A054</t>
  </si>
  <si>
    <t>4A056</t>
  </si>
  <si>
    <t>4A058</t>
  </si>
  <si>
    <t>4A060</t>
  </si>
  <si>
    <t>4A062</t>
  </si>
  <si>
    <t>4A064</t>
  </si>
  <si>
    <t>4A066</t>
  </si>
  <si>
    <t>4A068</t>
  </si>
  <si>
    <t>4A070</t>
  </si>
  <si>
    <t>4A072</t>
  </si>
  <si>
    <t>4A074</t>
  </si>
  <si>
    <t>4A076</t>
  </si>
  <si>
    <t>4A078</t>
  </si>
  <si>
    <t>4A080</t>
  </si>
  <si>
    <t>4A082</t>
  </si>
  <si>
    <t>4A084</t>
  </si>
  <si>
    <t>4A086</t>
  </si>
  <si>
    <t>4A088</t>
  </si>
  <si>
    <t>4A090</t>
  </si>
  <si>
    <t>4A092</t>
  </si>
  <si>
    <t>4A094</t>
  </si>
  <si>
    <t>4A096</t>
  </si>
  <si>
    <t>4A098</t>
  </si>
  <si>
    <t>4A100</t>
  </si>
  <si>
    <t>4A102</t>
  </si>
  <si>
    <t>4A104</t>
  </si>
  <si>
    <t>4A106</t>
  </si>
  <si>
    <t>4A108</t>
  </si>
  <si>
    <t>4A110</t>
  </si>
  <si>
    <t>4A112</t>
  </si>
  <si>
    <t>4A114</t>
  </si>
  <si>
    <t>4A116</t>
  </si>
  <si>
    <t>4A118</t>
  </si>
  <si>
    <t>4A120</t>
  </si>
  <si>
    <t>4A122</t>
  </si>
  <si>
    <t>4A124</t>
  </si>
  <si>
    <t>4A126</t>
  </si>
  <si>
    <t>4A128</t>
  </si>
  <si>
    <t>4A130</t>
  </si>
  <si>
    <t>4A132</t>
  </si>
  <si>
    <t>4A134</t>
  </si>
  <si>
    <t>4B004</t>
    <phoneticPr fontId="25" type="noConversion"/>
  </si>
  <si>
    <t>4C001</t>
    <phoneticPr fontId="27" type="noConversion"/>
  </si>
  <si>
    <t>4C021</t>
    <phoneticPr fontId="27" type="noConversion"/>
  </si>
  <si>
    <t>4D099</t>
  </si>
  <si>
    <t>4D099</t>
    <phoneticPr fontId="25" type="noConversion"/>
  </si>
  <si>
    <t>4D098</t>
    <phoneticPr fontId="25" type="noConversion"/>
  </si>
  <si>
    <t>4D097</t>
  </si>
  <si>
    <t>4D097</t>
    <phoneticPr fontId="25" type="noConversion"/>
  </si>
  <si>
    <t>4D096</t>
    <phoneticPr fontId="25" type="noConversion"/>
  </si>
  <si>
    <t>4D095</t>
  </si>
  <si>
    <t>4D095</t>
    <phoneticPr fontId="25" type="noConversion"/>
  </si>
  <si>
    <t>4D094</t>
    <phoneticPr fontId="25" type="noConversion"/>
  </si>
  <si>
    <t>4D093</t>
  </si>
  <si>
    <t>4D093</t>
    <phoneticPr fontId="25" type="noConversion"/>
  </si>
  <si>
    <t>4D092</t>
    <phoneticPr fontId="25" type="noConversion"/>
  </si>
  <si>
    <t>4D091</t>
  </si>
  <si>
    <t>4D091</t>
    <phoneticPr fontId="25" type="noConversion"/>
  </si>
  <si>
    <t>4D090</t>
    <phoneticPr fontId="25" type="noConversion"/>
  </si>
  <si>
    <t>4D081</t>
  </si>
  <si>
    <t>4D081</t>
    <phoneticPr fontId="25" type="noConversion"/>
  </si>
  <si>
    <t>4D082</t>
    <phoneticPr fontId="25" type="noConversion"/>
  </si>
  <si>
    <t>4D083</t>
  </si>
  <si>
    <t>4D083</t>
    <phoneticPr fontId="25" type="noConversion"/>
  </si>
  <si>
    <t>4D084</t>
    <phoneticPr fontId="25" type="noConversion"/>
  </si>
  <si>
    <t>4D085</t>
  </si>
  <si>
    <t>4D085</t>
    <phoneticPr fontId="25" type="noConversion"/>
  </si>
  <si>
    <t>4D086</t>
    <phoneticPr fontId="25" type="noConversion"/>
  </si>
  <si>
    <t>4D087</t>
  </si>
  <si>
    <t>4D087</t>
    <phoneticPr fontId="25" type="noConversion"/>
  </si>
  <si>
    <t>4D088</t>
    <phoneticPr fontId="25" type="noConversion"/>
  </si>
  <si>
    <t>4D089</t>
  </si>
  <si>
    <t>4D089</t>
    <phoneticPr fontId="25" type="noConversion"/>
  </si>
  <si>
    <t>4D080</t>
    <phoneticPr fontId="25" type="noConversion"/>
  </si>
  <si>
    <t>4D069</t>
  </si>
  <si>
    <t>4D069</t>
    <phoneticPr fontId="25" type="noConversion"/>
  </si>
  <si>
    <t>4D068</t>
    <phoneticPr fontId="25" type="noConversion"/>
  </si>
  <si>
    <t>4D079</t>
  </si>
  <si>
    <t>4D079</t>
    <phoneticPr fontId="25" type="noConversion"/>
  </si>
  <si>
    <t>4D078</t>
    <phoneticPr fontId="25" type="noConversion"/>
  </si>
  <si>
    <t>4D077</t>
  </si>
  <si>
    <t>4D077</t>
    <phoneticPr fontId="25" type="noConversion"/>
  </si>
  <si>
    <t>4D076</t>
    <phoneticPr fontId="25" type="noConversion"/>
  </si>
  <si>
    <t>4D075</t>
  </si>
  <si>
    <t>4D075</t>
    <phoneticPr fontId="25" type="noConversion"/>
  </si>
  <si>
    <t>4D067</t>
  </si>
  <si>
    <t>4D067</t>
    <phoneticPr fontId="25" type="noConversion"/>
  </si>
  <si>
    <t>4D066</t>
    <phoneticPr fontId="25" type="noConversion"/>
  </si>
  <si>
    <t>4D065</t>
  </si>
  <si>
    <t>4D065</t>
    <phoneticPr fontId="25" type="noConversion"/>
  </si>
  <si>
    <t>4D064</t>
    <phoneticPr fontId="25" type="noConversion"/>
  </si>
  <si>
    <t>4D058</t>
    <phoneticPr fontId="25" type="noConversion"/>
  </si>
  <si>
    <t>4D057</t>
  </si>
  <si>
    <t>4D057</t>
    <phoneticPr fontId="25" type="noConversion"/>
  </si>
  <si>
    <t>4D056</t>
    <phoneticPr fontId="25" type="noConversion"/>
  </si>
  <si>
    <t>4D055</t>
  </si>
  <si>
    <t>4D055</t>
    <phoneticPr fontId="25" type="noConversion"/>
  </si>
  <si>
    <t>4D054</t>
    <phoneticPr fontId="25" type="noConversion"/>
  </si>
  <si>
    <t>4D053</t>
  </si>
  <si>
    <t>4D053</t>
    <phoneticPr fontId="25" type="noConversion"/>
  </si>
  <si>
    <t>4D047</t>
  </si>
  <si>
    <t>4D047</t>
    <phoneticPr fontId="25" type="noConversion"/>
  </si>
  <si>
    <t>4D046</t>
    <phoneticPr fontId="25" type="noConversion"/>
  </si>
  <si>
    <t>4D045</t>
  </si>
  <si>
    <t>4D045</t>
    <phoneticPr fontId="25" type="noConversion"/>
  </si>
  <si>
    <t>4D044</t>
    <phoneticPr fontId="25" type="noConversion"/>
  </si>
  <si>
    <t>4D043</t>
  </si>
  <si>
    <t>4D043</t>
    <phoneticPr fontId="25" type="noConversion"/>
  </si>
  <si>
    <t>4D042</t>
    <phoneticPr fontId="25" type="noConversion"/>
  </si>
  <si>
    <t>4D036</t>
    <phoneticPr fontId="25" type="noConversion"/>
  </si>
  <si>
    <t>4D027</t>
  </si>
  <si>
    <t>4D027</t>
    <phoneticPr fontId="27" type="noConversion"/>
  </si>
  <si>
    <t>4D026</t>
    <phoneticPr fontId="27" type="noConversion"/>
  </si>
  <si>
    <t>4D035</t>
  </si>
  <si>
    <t>4D035</t>
    <phoneticPr fontId="25" type="noConversion"/>
  </si>
  <si>
    <t>4D034</t>
    <phoneticPr fontId="25" type="noConversion"/>
  </si>
  <si>
    <t>4D033</t>
  </si>
  <si>
    <t>4D033</t>
    <phoneticPr fontId="25" type="noConversion"/>
  </si>
  <si>
    <t>4D032</t>
    <phoneticPr fontId="25" type="noConversion"/>
  </si>
  <si>
    <t>4D031</t>
  </si>
  <si>
    <t>4D031</t>
    <phoneticPr fontId="25" type="noConversion"/>
  </si>
  <si>
    <t>4D022</t>
    <phoneticPr fontId="27" type="noConversion"/>
  </si>
  <si>
    <t>4D023</t>
  </si>
  <si>
    <t>4D025</t>
  </si>
  <si>
    <t>4D025</t>
    <phoneticPr fontId="25" type="noConversion"/>
  </si>
  <si>
    <t>4D024</t>
    <phoneticPr fontId="25" type="noConversion"/>
  </si>
  <si>
    <t>4D023</t>
    <phoneticPr fontId="27" type="noConversion"/>
  </si>
  <si>
    <t>4D016</t>
  </si>
  <si>
    <t>4D016</t>
    <phoneticPr fontId="27" type="noConversion"/>
  </si>
  <si>
    <t>4D015</t>
    <phoneticPr fontId="27" type="noConversion"/>
  </si>
  <si>
    <t>4D014</t>
  </si>
  <si>
    <t>4D014</t>
    <phoneticPr fontId="27" type="noConversion"/>
  </si>
  <si>
    <t>4D013</t>
    <phoneticPr fontId="27" type="noConversion"/>
  </si>
  <si>
    <t>4D012</t>
  </si>
  <si>
    <t>4D012</t>
    <phoneticPr fontId="27" type="noConversion"/>
  </si>
  <si>
    <t>4D006</t>
    <phoneticPr fontId="27" type="noConversion"/>
  </si>
  <si>
    <t>4D011</t>
    <phoneticPr fontId="25" type="noConversion"/>
  </si>
  <si>
    <t>4D010</t>
    <phoneticPr fontId="25" type="noConversion"/>
  </si>
  <si>
    <t>4D009</t>
    <phoneticPr fontId="27" type="noConversion"/>
  </si>
  <si>
    <t>4D008</t>
    <phoneticPr fontId="27" type="noConversion"/>
  </si>
  <si>
    <t>4D007</t>
    <phoneticPr fontId="27" type="noConversion"/>
  </si>
  <si>
    <t>4D001</t>
    <phoneticPr fontId="27" type="noConversion"/>
  </si>
  <si>
    <t>4D002</t>
    <phoneticPr fontId="27" type="noConversion"/>
  </si>
  <si>
    <t>4D003</t>
    <phoneticPr fontId="25" type="noConversion"/>
  </si>
  <si>
    <t>4D004</t>
    <phoneticPr fontId="25" type="noConversion"/>
  </si>
  <si>
    <t>4D005</t>
  </si>
  <si>
    <t>4D005</t>
    <phoneticPr fontId="27" type="noConversion"/>
  </si>
  <si>
    <t>4D017</t>
  </si>
  <si>
    <t>4D017</t>
    <phoneticPr fontId="25" type="noConversion"/>
  </si>
  <si>
    <t>4D018</t>
    <phoneticPr fontId="25" type="noConversion"/>
  </si>
  <si>
    <t>4D019</t>
    <phoneticPr fontId="27" type="noConversion"/>
  </si>
  <si>
    <t>4D020</t>
    <phoneticPr fontId="27" type="noConversion"/>
  </si>
  <si>
    <t>4D021</t>
  </si>
  <si>
    <t>4D021</t>
    <phoneticPr fontId="27" type="noConversion"/>
  </si>
  <si>
    <t>4D030</t>
    <phoneticPr fontId="27" type="noConversion"/>
  </si>
  <si>
    <t>4D029</t>
  </si>
  <si>
    <t>4D029</t>
    <phoneticPr fontId="27" type="noConversion"/>
  </si>
  <si>
    <t>4D028</t>
    <phoneticPr fontId="27" type="noConversion"/>
  </si>
  <si>
    <t>4D052</t>
    <phoneticPr fontId="25" type="noConversion"/>
  </si>
  <si>
    <t>4D051</t>
  </si>
  <si>
    <t>4D051</t>
    <phoneticPr fontId="25" type="noConversion"/>
  </si>
  <si>
    <t>4D050</t>
    <phoneticPr fontId="25" type="noConversion"/>
  </si>
  <si>
    <t>4D049</t>
  </si>
  <si>
    <t>4D049</t>
    <phoneticPr fontId="25" type="noConversion"/>
  </si>
  <si>
    <t>4D048</t>
    <phoneticPr fontId="25" type="noConversion"/>
  </si>
  <si>
    <t>4D037</t>
  </si>
  <si>
    <t>4D037</t>
    <phoneticPr fontId="25" type="noConversion"/>
  </si>
  <si>
    <t>4D038</t>
    <phoneticPr fontId="25" type="noConversion"/>
  </si>
  <si>
    <t>4D039</t>
  </si>
  <si>
    <t>4D039</t>
    <phoneticPr fontId="25" type="noConversion"/>
  </si>
  <si>
    <t>4D040</t>
    <phoneticPr fontId="25" type="noConversion"/>
  </si>
  <si>
    <t>4D041</t>
  </si>
  <si>
    <t>4D041</t>
    <phoneticPr fontId="25" type="noConversion"/>
  </si>
  <si>
    <t>4D063</t>
  </si>
  <si>
    <t>4D063</t>
    <phoneticPr fontId="25" type="noConversion"/>
  </si>
  <si>
    <t>4D074</t>
    <phoneticPr fontId="25" type="noConversion"/>
  </si>
  <si>
    <t>4D073</t>
  </si>
  <si>
    <t>4D073</t>
    <phoneticPr fontId="25" type="noConversion"/>
  </si>
  <si>
    <t>4D062</t>
    <phoneticPr fontId="25" type="noConversion"/>
  </si>
  <si>
    <t>4D072</t>
    <phoneticPr fontId="25" type="noConversion"/>
  </si>
  <si>
    <t>4D061</t>
  </si>
  <si>
    <t>4D061</t>
    <phoneticPr fontId="25" type="noConversion"/>
  </si>
  <si>
    <t>4D071</t>
  </si>
  <si>
    <t>4D071</t>
    <phoneticPr fontId="25" type="noConversion"/>
  </si>
  <si>
    <t>4D060</t>
    <phoneticPr fontId="25" type="noConversion"/>
  </si>
  <si>
    <t>4D070</t>
    <phoneticPr fontId="25" type="noConversion"/>
  </si>
  <si>
    <t>4D059</t>
  </si>
  <si>
    <t>4D059</t>
    <phoneticPr fontId="25" type="noConversion"/>
  </si>
  <si>
    <t>4A001</t>
    <phoneticPr fontId="25" type="noConversion"/>
  </si>
  <si>
    <t>4A002</t>
    <phoneticPr fontId="25" type="noConversion"/>
  </si>
  <si>
    <t>4A099</t>
    <phoneticPr fontId="25" type="noConversion"/>
  </si>
  <si>
    <t>4A098</t>
    <phoneticPr fontId="25" type="noConversion"/>
  </si>
  <si>
    <t>4A097</t>
    <phoneticPr fontId="25" type="noConversion"/>
  </si>
  <si>
    <t>4A096</t>
    <phoneticPr fontId="25" type="noConversion"/>
  </si>
  <si>
    <t>4A095</t>
    <phoneticPr fontId="25" type="noConversion"/>
  </si>
  <si>
    <t>4A094</t>
    <phoneticPr fontId="25" type="noConversion"/>
  </si>
  <si>
    <t>4A093</t>
    <phoneticPr fontId="25" type="noConversion"/>
  </si>
  <si>
    <t>4A092</t>
    <phoneticPr fontId="25" type="noConversion"/>
  </si>
  <si>
    <t>4A091</t>
    <phoneticPr fontId="25" type="noConversion"/>
  </si>
  <si>
    <t>4A082</t>
    <phoneticPr fontId="25" type="noConversion"/>
  </si>
  <si>
    <t>4A083</t>
    <phoneticPr fontId="25" type="noConversion"/>
  </si>
  <si>
    <t>4A084</t>
    <phoneticPr fontId="25" type="noConversion"/>
  </si>
  <si>
    <t>4A085</t>
    <phoneticPr fontId="25" type="noConversion"/>
  </si>
  <si>
    <t>4A073</t>
    <phoneticPr fontId="25" type="noConversion"/>
  </si>
  <si>
    <t>4A074</t>
    <phoneticPr fontId="25" type="noConversion"/>
  </si>
  <si>
    <t>4A075</t>
    <phoneticPr fontId="25" type="noConversion"/>
  </si>
  <si>
    <t>4A076</t>
    <phoneticPr fontId="25" type="noConversion"/>
  </si>
  <si>
    <t>4A090</t>
    <phoneticPr fontId="25" type="noConversion"/>
  </si>
  <si>
    <t>4A089</t>
    <phoneticPr fontId="25" type="noConversion"/>
  </si>
  <si>
    <t>4A088</t>
    <phoneticPr fontId="25" type="noConversion"/>
  </si>
  <si>
    <t>4A087</t>
    <phoneticPr fontId="25" type="noConversion"/>
  </si>
  <si>
    <t>4A086</t>
    <phoneticPr fontId="25" type="noConversion"/>
  </si>
  <si>
    <t>4A077</t>
    <phoneticPr fontId="25" type="noConversion"/>
  </si>
  <si>
    <t>4A078</t>
    <phoneticPr fontId="25" type="noConversion"/>
  </si>
  <si>
    <t>4A079</t>
    <phoneticPr fontId="25" type="noConversion"/>
  </si>
  <si>
    <t>4A080</t>
    <phoneticPr fontId="25" type="noConversion"/>
  </si>
  <si>
    <t>4A081</t>
    <phoneticPr fontId="25" type="noConversion"/>
  </si>
  <si>
    <t>4A072</t>
    <phoneticPr fontId="27" type="noConversion"/>
  </si>
  <si>
    <t>4A061</t>
    <phoneticPr fontId="27" type="noConversion"/>
  </si>
  <si>
    <t>4A050</t>
    <phoneticPr fontId="25" type="noConversion"/>
  </si>
  <si>
    <t>4A039</t>
    <phoneticPr fontId="27" type="noConversion"/>
  </si>
  <si>
    <t>4A028</t>
    <phoneticPr fontId="27" type="noConversion"/>
  </si>
  <si>
    <t>4A019</t>
    <phoneticPr fontId="27" type="noConversion"/>
  </si>
  <si>
    <t>4A010</t>
    <phoneticPr fontId="25" type="noConversion"/>
  </si>
  <si>
    <t>4A009</t>
    <phoneticPr fontId="25" type="noConversion"/>
  </si>
  <si>
    <t>4A008</t>
    <phoneticPr fontId="25" type="noConversion"/>
  </si>
  <si>
    <t>4A007</t>
    <phoneticPr fontId="25" type="noConversion"/>
  </si>
  <si>
    <t>4A006</t>
    <phoneticPr fontId="25" type="noConversion"/>
  </si>
  <si>
    <t>4A015</t>
    <phoneticPr fontId="27" type="noConversion"/>
  </si>
  <si>
    <t>4A016</t>
    <phoneticPr fontId="27" type="noConversion"/>
  </si>
  <si>
    <t>4A017</t>
    <phoneticPr fontId="27" type="noConversion"/>
  </si>
  <si>
    <t>4A018</t>
    <phoneticPr fontId="27" type="noConversion"/>
  </si>
  <si>
    <t>4A027</t>
    <phoneticPr fontId="27" type="noConversion"/>
  </si>
  <si>
    <t>4A026</t>
    <phoneticPr fontId="27" type="noConversion"/>
  </si>
  <si>
    <t>4A025</t>
    <phoneticPr fontId="27" type="noConversion"/>
  </si>
  <si>
    <t>4A024</t>
    <phoneticPr fontId="27" type="noConversion"/>
  </si>
  <si>
    <t>4A035</t>
    <phoneticPr fontId="27" type="noConversion"/>
  </si>
  <si>
    <t>4A046</t>
    <phoneticPr fontId="27" type="noConversion"/>
  </si>
  <si>
    <t>4A047</t>
    <phoneticPr fontId="27" type="noConversion"/>
  </si>
  <si>
    <t>4A036</t>
    <phoneticPr fontId="27" type="noConversion"/>
  </si>
  <si>
    <t>4A037</t>
    <phoneticPr fontId="27" type="noConversion"/>
  </si>
  <si>
    <t>4A038</t>
    <phoneticPr fontId="27" type="noConversion"/>
  </si>
  <si>
    <t>4A049</t>
    <phoneticPr fontId="27" type="noConversion"/>
  </si>
  <si>
    <t>4A060</t>
    <phoneticPr fontId="25" type="noConversion"/>
  </si>
  <si>
    <t>4A057</t>
    <phoneticPr fontId="27" type="noConversion"/>
  </si>
  <si>
    <t>4A058</t>
    <phoneticPr fontId="27" type="noConversion"/>
  </si>
  <si>
    <t>4A059</t>
    <phoneticPr fontId="27" type="noConversion"/>
  </si>
  <si>
    <t>4A068</t>
    <phoneticPr fontId="27" type="noConversion"/>
  </si>
  <si>
    <t>4A069</t>
    <phoneticPr fontId="27" type="noConversion"/>
  </si>
  <si>
    <t>4A070</t>
    <phoneticPr fontId="25" type="noConversion"/>
  </si>
  <si>
    <t>4A071</t>
    <phoneticPr fontId="27" type="noConversion"/>
  </si>
  <si>
    <t>4A067</t>
    <phoneticPr fontId="27" type="noConversion"/>
  </si>
  <si>
    <t>4A066</t>
    <phoneticPr fontId="27" type="noConversion"/>
  </si>
  <si>
    <t>4A065</t>
    <phoneticPr fontId="27" type="noConversion"/>
  </si>
  <si>
    <t>4A064</t>
    <phoneticPr fontId="27" type="noConversion"/>
  </si>
  <si>
    <t>4A063</t>
    <phoneticPr fontId="27" type="noConversion"/>
  </si>
  <si>
    <t>4A062</t>
    <phoneticPr fontId="27" type="noConversion"/>
  </si>
  <si>
    <t>4A051</t>
    <phoneticPr fontId="27" type="noConversion"/>
  </si>
  <si>
    <t>4A052</t>
    <phoneticPr fontId="27" type="noConversion"/>
  </si>
  <si>
    <t>4A053</t>
    <phoneticPr fontId="27" type="noConversion"/>
  </si>
  <si>
    <t>4A054</t>
    <phoneticPr fontId="27" type="noConversion"/>
  </si>
  <si>
    <t>4A055</t>
    <phoneticPr fontId="27" type="noConversion"/>
  </si>
  <si>
    <t>4A056</t>
    <phoneticPr fontId="27" type="noConversion"/>
  </si>
  <si>
    <t>4A045</t>
    <phoneticPr fontId="27" type="noConversion"/>
  </si>
  <si>
    <t>4A034</t>
    <phoneticPr fontId="27" type="noConversion"/>
  </si>
  <si>
    <t>4A023</t>
    <phoneticPr fontId="27" type="noConversion"/>
  </si>
  <si>
    <t>4A014</t>
    <phoneticPr fontId="27" type="noConversion"/>
  </si>
  <si>
    <t>4A013</t>
    <phoneticPr fontId="27" type="noConversion"/>
  </si>
  <si>
    <t>4A012</t>
    <phoneticPr fontId="27" type="noConversion"/>
  </si>
  <si>
    <t>4A011</t>
    <phoneticPr fontId="27" type="noConversion"/>
  </si>
  <si>
    <t>4A020</t>
    <phoneticPr fontId="25" type="noConversion"/>
  </si>
  <si>
    <t>4A021</t>
    <phoneticPr fontId="27" type="noConversion"/>
  </si>
  <si>
    <t>4A022</t>
    <phoneticPr fontId="27" type="noConversion"/>
  </si>
  <si>
    <t>4A005</t>
    <phoneticPr fontId="25" type="noConversion"/>
  </si>
  <si>
    <t>4A004</t>
    <phoneticPr fontId="25" type="noConversion"/>
  </si>
  <si>
    <t>4A003</t>
    <phoneticPr fontId="25" type="noConversion"/>
  </si>
  <si>
    <t>4A040</t>
    <phoneticPr fontId="25" type="noConversion"/>
  </si>
  <si>
    <t>4A029</t>
    <phoneticPr fontId="27" type="noConversion"/>
  </si>
  <si>
    <t>4A030</t>
    <phoneticPr fontId="25" type="noConversion"/>
  </si>
  <si>
    <t>4A041</t>
    <phoneticPr fontId="27" type="noConversion"/>
  </si>
  <si>
    <t>4A042</t>
    <phoneticPr fontId="27" type="noConversion"/>
  </si>
  <si>
    <t>4A031</t>
    <phoneticPr fontId="27" type="noConversion"/>
  </si>
  <si>
    <t>4A032</t>
    <phoneticPr fontId="27" type="noConversion"/>
  </si>
  <si>
    <t>4A403</t>
    <phoneticPr fontId="27" type="noConversion"/>
  </si>
  <si>
    <t>4A044</t>
    <phoneticPr fontId="27" type="noConversion"/>
  </si>
  <si>
    <t>4A033</t>
    <phoneticPr fontId="27" type="noConversion"/>
  </si>
  <si>
    <t>4D003</t>
    <phoneticPr fontId="27" type="noConversion"/>
  </si>
  <si>
    <t>4D010</t>
    <phoneticPr fontId="27" type="noConversion"/>
  </si>
  <si>
    <t>4D101</t>
  </si>
  <si>
    <t>4D103</t>
  </si>
  <si>
    <t>4D105</t>
  </si>
  <si>
    <t>4D107</t>
  </si>
  <si>
    <t>4D109</t>
  </si>
  <si>
    <t>4D111</t>
  </si>
  <si>
    <t>4D113</t>
  </si>
  <si>
    <t>4D115</t>
  </si>
  <si>
    <t>4D117</t>
  </si>
  <si>
    <t>4D119</t>
  </si>
  <si>
    <t>4D121</t>
  </si>
  <si>
    <r>
      <t xml:space="preserve">"배정"이라는 시트에 반과 이름을 써 넣으면 자동적으로 
"해당면학실 층" 시트에 반영이 되어 편리하게 사용하실 수 있습니다.
</t>
    </r>
    <r>
      <rPr>
        <b/>
        <sz val="11"/>
        <color indexed="10"/>
        <rFont val="맑은 고딕"/>
        <family val="3"/>
        <charset val="129"/>
      </rPr>
      <t xml:space="preserve">"면학실 2층"시트는 건드리지 말아주시기 바랍니다. </t>
    </r>
    <phoneticPr fontId="6" type="noConversion"/>
  </si>
  <si>
    <t>이승준</t>
  </si>
  <si>
    <t>김규민</t>
  </si>
  <si>
    <t>김명준</t>
  </si>
  <si>
    <t>안기정</t>
  </si>
  <si>
    <t>이민용</t>
  </si>
  <si>
    <t>황승현</t>
  </si>
  <si>
    <t>서연준</t>
  </si>
  <si>
    <t>안관영</t>
  </si>
  <si>
    <t>안철민</t>
  </si>
  <si>
    <t>이태웅</t>
  </si>
  <si>
    <t>하정우</t>
  </si>
  <si>
    <t>박지민</t>
  </si>
  <si>
    <t>김시연</t>
  </si>
  <si>
    <t>강서현</t>
  </si>
  <si>
    <t>권서영</t>
  </si>
  <si>
    <t>김민서</t>
  </si>
  <si>
    <t>김예지</t>
  </si>
  <si>
    <t>김지윤</t>
  </si>
  <si>
    <t>박민경</t>
  </si>
  <si>
    <t>서해원</t>
  </si>
  <si>
    <t>오은채</t>
  </si>
  <si>
    <t>이다민</t>
  </si>
  <si>
    <t>이서은</t>
  </si>
  <si>
    <t>이수빈</t>
  </si>
  <si>
    <t>이시연</t>
  </si>
  <si>
    <t>이현진</t>
  </si>
  <si>
    <t>임서현</t>
  </si>
  <si>
    <t>조윤빈</t>
  </si>
  <si>
    <t>한현진</t>
  </si>
  <si>
    <t>권민경</t>
  </si>
  <si>
    <t>김민채</t>
  </si>
  <si>
    <t>김현서</t>
  </si>
  <si>
    <t>류연경</t>
  </si>
  <si>
    <t>문아영</t>
  </si>
  <si>
    <t>문채원</t>
  </si>
  <si>
    <t>신혜원</t>
  </si>
  <si>
    <t>유지민</t>
  </si>
  <si>
    <t>윤지원</t>
  </si>
  <si>
    <t>이승주</t>
  </si>
  <si>
    <t>이시현</t>
  </si>
  <si>
    <t>장지안</t>
  </si>
  <si>
    <t>한소윤</t>
  </si>
  <si>
    <t>홍채연</t>
  </si>
  <si>
    <t>김대연</t>
    <phoneticPr fontId="25" type="noConversion"/>
  </si>
  <si>
    <t>김선우</t>
  </si>
  <si>
    <t>김지섭</t>
  </si>
  <si>
    <t>남정호</t>
  </si>
  <si>
    <t>신정우</t>
  </si>
  <si>
    <t>이민호</t>
  </si>
  <si>
    <t>이성한</t>
  </si>
  <si>
    <t>이호찬</t>
  </si>
  <si>
    <t>황동균</t>
  </si>
  <si>
    <t>서장원</t>
  </si>
  <si>
    <t>우성민</t>
  </si>
  <si>
    <t>이여명</t>
  </si>
  <si>
    <t>이효민</t>
  </si>
  <si>
    <t>최은성</t>
  </si>
  <si>
    <t>최진우</t>
  </si>
  <si>
    <t>김민준</t>
  </si>
  <si>
    <t>신재인</t>
  </si>
  <si>
    <t>이형국</t>
  </si>
  <si>
    <t>이휘성</t>
  </si>
  <si>
    <t>전경민</t>
  </si>
  <si>
    <t>최현웅</t>
  </si>
  <si>
    <t>한준희</t>
  </si>
  <si>
    <t>고건희</t>
  </si>
  <si>
    <t>김범수</t>
  </si>
  <si>
    <t>김연건</t>
  </si>
  <si>
    <t>박재연</t>
  </si>
  <si>
    <t>양웅비</t>
  </si>
  <si>
    <t>조규희</t>
  </si>
  <si>
    <t>강다연</t>
  </si>
  <si>
    <t>김가현</t>
  </si>
  <si>
    <t>김나은</t>
  </si>
  <si>
    <t>김지은</t>
  </si>
  <si>
    <t>박선미</t>
  </si>
  <si>
    <t>박유빈</t>
  </si>
  <si>
    <t>성혜린</t>
  </si>
  <si>
    <t>송윤아</t>
  </si>
  <si>
    <t>심은서</t>
  </si>
  <si>
    <t>홍찬미</t>
  </si>
  <si>
    <t>김도연</t>
  </si>
  <si>
    <t>김려원</t>
  </si>
  <si>
    <t>김민주</t>
  </si>
  <si>
    <t>김세은</t>
  </si>
  <si>
    <t>박수민</t>
  </si>
  <si>
    <t>박수연</t>
  </si>
  <si>
    <t>손민서</t>
  </si>
  <si>
    <t>송예은</t>
  </si>
  <si>
    <t>심서진</t>
  </si>
  <si>
    <t>양지혜</t>
  </si>
  <si>
    <t>오연서</t>
  </si>
  <si>
    <t>육다희</t>
  </si>
  <si>
    <t>이지연</t>
  </si>
  <si>
    <t>이태윤</t>
  </si>
  <si>
    <t>임효진</t>
  </si>
  <si>
    <t>정윤주</t>
  </si>
  <si>
    <t>강승현</t>
  </si>
  <si>
    <t>공은비</t>
  </si>
  <si>
    <t>곽은규</t>
  </si>
  <si>
    <t>구도연</t>
  </si>
  <si>
    <t>권하진</t>
  </si>
  <si>
    <t>김도윤</t>
  </si>
  <si>
    <t>김서윤</t>
  </si>
  <si>
    <t>노현지</t>
  </si>
  <si>
    <t>박소연</t>
  </si>
  <si>
    <t>백수아</t>
  </si>
  <si>
    <t>신유나</t>
  </si>
  <si>
    <t>이서현</t>
  </si>
  <si>
    <t>이은채</t>
  </si>
  <si>
    <t>김보석</t>
  </si>
  <si>
    <t>박서연</t>
  </si>
  <si>
    <t>반현진</t>
  </si>
  <si>
    <t>백주은</t>
  </si>
  <si>
    <t>변세현</t>
  </si>
  <si>
    <t>서시현</t>
  </si>
  <si>
    <t>송민경</t>
  </si>
  <si>
    <t>우서연</t>
  </si>
  <si>
    <t>이세흠</t>
  </si>
  <si>
    <t>장서영</t>
  </si>
  <si>
    <t>정다운</t>
  </si>
  <si>
    <t>정해린</t>
  </si>
  <si>
    <t>주여진</t>
  </si>
  <si>
    <t>최경아</t>
  </si>
  <si>
    <t>최재경</t>
  </si>
  <si>
    <t>홍윤형</t>
  </si>
  <si>
    <t>강태민</t>
  </si>
  <si>
    <t>권원재</t>
  </si>
  <si>
    <t>김도임</t>
  </si>
  <si>
    <t>김린우</t>
  </si>
  <si>
    <t>김상민</t>
  </si>
  <si>
    <t>김영환</t>
  </si>
  <si>
    <t>전규진</t>
  </si>
  <si>
    <t>정래영</t>
  </si>
  <si>
    <t>조성민</t>
  </si>
  <si>
    <t>황유민</t>
  </si>
  <si>
    <t>구본현</t>
  </si>
  <si>
    <t>김세빈</t>
  </si>
  <si>
    <t>서아열</t>
  </si>
  <si>
    <t>서윤덕</t>
  </si>
  <si>
    <t>이규헌</t>
  </si>
  <si>
    <t>전지훈</t>
  </si>
  <si>
    <t>전진홍</t>
  </si>
  <si>
    <t>정영진</t>
  </si>
  <si>
    <t>공서준</t>
  </si>
  <si>
    <t>김도준</t>
  </si>
  <si>
    <t>김현규</t>
  </si>
  <si>
    <t>박무성</t>
  </si>
  <si>
    <t>박서진</t>
  </si>
  <si>
    <t>박준서</t>
  </si>
  <si>
    <t>유석민</t>
  </si>
  <si>
    <t>이동건</t>
  </si>
  <si>
    <t>최동민</t>
  </si>
  <si>
    <t>홍준혁</t>
  </si>
  <si>
    <t>강정훈</t>
  </si>
  <si>
    <t>김현빈</t>
  </si>
  <si>
    <t>김호담</t>
  </si>
  <si>
    <t>변상빈</t>
  </si>
  <si>
    <t>윤휘결</t>
  </si>
  <si>
    <t>이서원</t>
  </si>
  <si>
    <t>임수한</t>
  </si>
  <si>
    <t>임종호</t>
  </si>
  <si>
    <t>최지훈</t>
  </si>
  <si>
    <t>허준영</t>
  </si>
  <si>
    <t>안재현</t>
  </si>
  <si>
    <t>이도현</t>
  </si>
  <si>
    <t>임서진</t>
  </si>
  <si>
    <t>정수언</t>
  </si>
  <si>
    <t>황하빈</t>
  </si>
  <si>
    <t>강고은</t>
  </si>
  <si>
    <t>강다은</t>
  </si>
  <si>
    <t>남시윤</t>
  </si>
  <si>
    <t>문시연</t>
  </si>
  <si>
    <t>석정인</t>
  </si>
  <si>
    <t>송윤빈</t>
  </si>
  <si>
    <t>우정원</t>
  </si>
  <si>
    <t>차연우</t>
  </si>
  <si>
    <t>하지민</t>
  </si>
  <si>
    <t>반</t>
    <phoneticPr fontId="27" type="noConversion"/>
  </si>
  <si>
    <t>이름</t>
    <phoneticPr fontId="27" type="noConversion"/>
  </si>
  <si>
    <t>좌석</t>
    <phoneticPr fontId="27" type="noConversion"/>
  </si>
  <si>
    <t>C306</t>
    <phoneticPr fontId="27" type="noConversion"/>
  </si>
  <si>
    <t>C307</t>
    <phoneticPr fontId="27" type="noConversion"/>
  </si>
  <si>
    <t>A301</t>
    <phoneticPr fontId="27" type="noConversion"/>
  </si>
  <si>
    <t>A302</t>
    <phoneticPr fontId="27" type="noConversion"/>
  </si>
  <si>
    <t>A308</t>
    <phoneticPr fontId="27" type="noConversion"/>
  </si>
  <si>
    <t>C306-1</t>
    <phoneticPr fontId="27" type="noConversion"/>
  </si>
  <si>
    <t>C306-2</t>
  </si>
  <si>
    <t>C306-3</t>
  </si>
  <si>
    <t>C306-4</t>
  </si>
  <si>
    <t>C306-5</t>
  </si>
  <si>
    <t>C306-6</t>
  </si>
  <si>
    <t>C306-7</t>
  </si>
  <si>
    <t>C306-8</t>
  </si>
  <si>
    <t>C306-9</t>
  </si>
  <si>
    <t>C306-10</t>
  </si>
  <si>
    <t>C306-11</t>
  </si>
  <si>
    <t>C306-12</t>
  </si>
  <si>
    <t>C306-13</t>
  </si>
  <si>
    <t>C306-14</t>
  </si>
  <si>
    <t>C306-15</t>
  </si>
  <si>
    <t>C306-16</t>
  </si>
  <si>
    <t>C306-17</t>
  </si>
  <si>
    <t>C306-18</t>
  </si>
  <si>
    <t>C306-19</t>
  </si>
  <si>
    <t>C306-20</t>
  </si>
  <si>
    <t>C306-21</t>
  </si>
  <si>
    <t>C306-22</t>
  </si>
  <si>
    <t>C306-23</t>
  </si>
  <si>
    <t>C306-24</t>
  </si>
  <si>
    <t>C306-25</t>
  </si>
  <si>
    <t>C306-26</t>
  </si>
  <si>
    <t>C306-27</t>
  </si>
  <si>
    <t>C306-28</t>
  </si>
  <si>
    <t>C306-29</t>
  </si>
  <si>
    <t>C306-30</t>
  </si>
  <si>
    <t>C307-1</t>
  </si>
  <si>
    <t>C307-1</t>
    <phoneticPr fontId="27" type="noConversion"/>
  </si>
  <si>
    <t>C307-2</t>
  </si>
  <si>
    <t>C307-3</t>
  </si>
  <si>
    <t>C307-4</t>
  </si>
  <si>
    <t>C307-5</t>
  </si>
  <si>
    <t>C307-6</t>
  </si>
  <si>
    <t>C307-7</t>
  </si>
  <si>
    <t>C307-8</t>
  </si>
  <si>
    <t>C307-9</t>
  </si>
  <si>
    <t>C307-10</t>
  </si>
  <si>
    <t>C307-11</t>
  </si>
  <si>
    <t>C307-12</t>
  </si>
  <si>
    <t>C307-13</t>
  </si>
  <si>
    <t>C307-14</t>
  </si>
  <si>
    <t>C307-15</t>
  </si>
  <si>
    <t>C307-16</t>
  </si>
  <si>
    <t>C307-17</t>
  </si>
  <si>
    <t>C307-18</t>
  </si>
  <si>
    <t>C307-19</t>
  </si>
  <si>
    <t>C307-20</t>
  </si>
  <si>
    <t>C307-21</t>
  </si>
  <si>
    <t>C307-22</t>
  </si>
  <si>
    <t>C307-23</t>
  </si>
  <si>
    <t>C307-24</t>
  </si>
  <si>
    <t>C307-25</t>
  </si>
  <si>
    <t>C307-26</t>
  </si>
  <si>
    <t>C307-27</t>
  </si>
  <si>
    <t>C307-28</t>
  </si>
  <si>
    <t>C307-29</t>
  </si>
  <si>
    <t>C307-30</t>
  </si>
  <si>
    <t>C309-1</t>
  </si>
  <si>
    <t>C309-1</t>
    <phoneticPr fontId="27" type="noConversion"/>
  </si>
  <si>
    <t>C309</t>
    <phoneticPr fontId="27" type="noConversion"/>
  </si>
  <si>
    <t>C309-2</t>
  </si>
  <si>
    <t>C309-3</t>
  </si>
  <si>
    <t>C309-4</t>
  </si>
  <si>
    <t>C309-5</t>
  </si>
  <si>
    <t>C309-6</t>
  </si>
  <si>
    <t>C309-7</t>
  </si>
  <si>
    <t>C309-8</t>
  </si>
  <si>
    <t>C309-9</t>
  </si>
  <si>
    <t>C309-10</t>
  </si>
  <si>
    <t>C309-11</t>
  </si>
  <si>
    <t>C309-12</t>
  </si>
  <si>
    <t>C309-13</t>
  </si>
  <si>
    <t>C309-14</t>
  </si>
  <si>
    <t>C309-15</t>
  </si>
  <si>
    <t>C309-16</t>
  </si>
  <si>
    <t>C309-17</t>
  </si>
  <si>
    <t>C309-18</t>
  </si>
  <si>
    <t>C309-19</t>
  </si>
  <si>
    <t>C309-20</t>
  </si>
  <si>
    <t>C309-21</t>
  </si>
  <si>
    <t>C309-22</t>
  </si>
  <si>
    <t>C309-23</t>
  </si>
  <si>
    <t>C309-24</t>
  </si>
  <si>
    <t>C309-25</t>
  </si>
  <si>
    <t>C309-26</t>
  </si>
  <si>
    <t>C309-27</t>
  </si>
  <si>
    <t>C309-28</t>
  </si>
  <si>
    <t>C309-29</t>
  </si>
  <si>
    <t>C309-30</t>
  </si>
  <si>
    <t>A301-1</t>
  </si>
  <si>
    <t>A301-1</t>
    <phoneticPr fontId="27" type="noConversion"/>
  </si>
  <si>
    <t>A301-2</t>
  </si>
  <si>
    <t>A301-3</t>
  </si>
  <si>
    <t>A301-4</t>
  </si>
  <si>
    <t>A301-5</t>
  </si>
  <si>
    <t>A301-6</t>
  </si>
  <si>
    <t>A301-7</t>
  </si>
  <si>
    <t>A301-8</t>
  </si>
  <si>
    <t>A301-9</t>
  </si>
  <si>
    <t>A301-10</t>
  </si>
  <si>
    <t>A301-11</t>
  </si>
  <si>
    <t>A301-12</t>
  </si>
  <si>
    <t>A301-13</t>
  </si>
  <si>
    <t>A301-14</t>
  </si>
  <si>
    <t>A301-15</t>
  </si>
  <si>
    <t>A301-16</t>
  </si>
  <si>
    <t>A301-17</t>
  </si>
  <si>
    <t>A301-18</t>
  </si>
  <si>
    <t>A301-19</t>
  </si>
  <si>
    <t>A301-20</t>
  </si>
  <si>
    <t>A301-21</t>
  </si>
  <si>
    <t>A301-22</t>
  </si>
  <si>
    <t>A301-23</t>
  </si>
  <si>
    <t>A301-24</t>
  </si>
  <si>
    <t>A301-25</t>
  </si>
  <si>
    <t>A301-26</t>
  </si>
  <si>
    <t>A301-27</t>
  </si>
  <si>
    <t>A301-28</t>
  </si>
  <si>
    <t>A301-29</t>
  </si>
  <si>
    <t>A301-30</t>
  </si>
  <si>
    <t>A302-1</t>
  </si>
  <si>
    <t>A302-1</t>
    <phoneticPr fontId="27" type="noConversion"/>
  </si>
  <si>
    <t>A302-2</t>
  </si>
  <si>
    <t>A302-3</t>
  </si>
  <si>
    <t>A302-4</t>
  </si>
  <si>
    <t>A302-5</t>
  </si>
  <si>
    <t>A302-6</t>
  </si>
  <si>
    <t>A302-7</t>
  </si>
  <si>
    <t>A302-8</t>
  </si>
  <si>
    <t>A302-9</t>
  </si>
  <si>
    <t>A302-10</t>
  </si>
  <si>
    <t>A302-11</t>
  </si>
  <si>
    <t>A302-12</t>
  </si>
  <si>
    <t>A302-13</t>
  </si>
  <si>
    <t>A302-14</t>
  </si>
  <si>
    <t>A302-15</t>
  </si>
  <si>
    <t>A302-16</t>
  </si>
  <si>
    <t>A302-17</t>
  </si>
  <si>
    <t>A302-18</t>
  </si>
  <si>
    <t>A302-19</t>
  </si>
  <si>
    <t>A302-20</t>
  </si>
  <si>
    <t>A302-21</t>
  </si>
  <si>
    <t>A302-22</t>
  </si>
  <si>
    <t>A302-23</t>
  </si>
  <si>
    <t>A302-24</t>
  </si>
  <si>
    <t>A302-25</t>
  </si>
  <si>
    <t>A302-26</t>
  </si>
  <si>
    <t>A302-27</t>
  </si>
  <si>
    <t>A302-28</t>
  </si>
  <si>
    <t>A302-29</t>
  </si>
  <si>
    <t>A302-30</t>
  </si>
  <si>
    <t>A308-1</t>
  </si>
  <si>
    <t>A308-1</t>
    <phoneticPr fontId="27" type="noConversion"/>
  </si>
  <si>
    <t>A308-2</t>
  </si>
  <si>
    <t>A308-3</t>
  </si>
  <si>
    <t>A308-4</t>
  </si>
  <si>
    <t>A308-5</t>
  </si>
  <si>
    <t>A308-6</t>
  </si>
  <si>
    <t>A308-7</t>
  </si>
  <si>
    <t>A308-8</t>
  </si>
  <si>
    <t>A308-9</t>
  </si>
  <si>
    <t>A308-10</t>
  </si>
  <si>
    <t>A308-11</t>
  </si>
  <si>
    <t>A308-12</t>
  </si>
  <si>
    <t>A308-13</t>
  </si>
  <si>
    <t>A308-14</t>
  </si>
  <si>
    <t>A308-15</t>
  </si>
  <si>
    <t>A308-16</t>
  </si>
  <si>
    <t>A308-17</t>
  </si>
  <si>
    <t>A308-18</t>
  </si>
  <si>
    <t>A308-19</t>
  </si>
  <si>
    <t>A308-20</t>
  </si>
  <si>
    <t>A308-21</t>
  </si>
  <si>
    <t>A308-22</t>
  </si>
  <si>
    <t>A308-23</t>
  </si>
  <si>
    <t>A308-24</t>
  </si>
  <si>
    <t>A308-25</t>
  </si>
  <si>
    <t>A308-26</t>
  </si>
  <si>
    <t>A308-27</t>
  </si>
  <si>
    <t>A308-28</t>
  </si>
  <si>
    <t>A308-29</t>
  </si>
  <si>
    <t>A308-30</t>
  </si>
  <si>
    <t>C306-31</t>
  </si>
  <si>
    <t>C306-32</t>
  </si>
  <si>
    <t>C306-33</t>
  </si>
  <si>
    <t>C306-34</t>
  </si>
  <si>
    <t>C306-35</t>
  </si>
  <si>
    <t>C306-36</t>
  </si>
  <si>
    <t>C306-37</t>
  </si>
  <si>
    <t>C306-38</t>
  </si>
  <si>
    <t>C306-9</t>
    <phoneticPr fontId="27" type="noConversion"/>
  </si>
  <si>
    <t>C306-13</t>
    <phoneticPr fontId="27" type="noConversion"/>
  </si>
  <si>
    <t>C306-19</t>
    <phoneticPr fontId="27" type="noConversion"/>
  </si>
  <si>
    <t>C306-20</t>
    <phoneticPr fontId="27" type="noConversion"/>
  </si>
  <si>
    <t>C306-21</t>
    <phoneticPr fontId="27" type="noConversion"/>
  </si>
  <si>
    <t>C306-39</t>
  </si>
  <si>
    <t>C306-40</t>
  </si>
  <si>
    <t>C306-41</t>
  </si>
  <si>
    <t>C306-42</t>
  </si>
  <si>
    <t>좌석 수</t>
    <phoneticPr fontId="6" type="noConversion"/>
  </si>
  <si>
    <t>배정 수</t>
    <phoneticPr fontId="6" type="noConversion"/>
  </si>
  <si>
    <t>A</t>
    <phoneticPr fontId="6" type="noConversion"/>
  </si>
  <si>
    <t>B</t>
    <phoneticPr fontId="6" type="noConversion"/>
  </si>
  <si>
    <t>D</t>
    <phoneticPr fontId="6" type="noConversion"/>
  </si>
  <si>
    <t>계</t>
    <phoneticPr fontId="6" type="noConversion"/>
  </si>
  <si>
    <t>2A015</t>
    <phoneticPr fontId="27" type="noConversion"/>
  </si>
  <si>
    <t>2A016</t>
    <phoneticPr fontId="27" type="noConversion"/>
  </si>
  <si>
    <t>2A017</t>
    <phoneticPr fontId="27" type="noConversion"/>
  </si>
  <si>
    <t>2A030</t>
    <phoneticPr fontId="27" type="noConversion"/>
  </si>
  <si>
    <t>2A031</t>
    <phoneticPr fontId="27" type="noConversion"/>
  </si>
  <si>
    <t>2A032</t>
    <phoneticPr fontId="27" type="noConversion"/>
  </si>
  <si>
    <t>2A039</t>
    <phoneticPr fontId="27" type="noConversion"/>
  </si>
  <si>
    <t>2A040</t>
    <phoneticPr fontId="27" type="noConversion"/>
  </si>
  <si>
    <t>2A041</t>
    <phoneticPr fontId="27" type="noConversion"/>
  </si>
  <si>
    <t>2A049</t>
    <phoneticPr fontId="27" type="noConversion"/>
  </si>
  <si>
    <t>2A050</t>
    <phoneticPr fontId="27" type="noConversion"/>
  </si>
  <si>
    <t>2A051</t>
    <phoneticPr fontId="27" type="noConversion"/>
  </si>
  <si>
    <t>2A052</t>
    <phoneticPr fontId="27" type="noConversion"/>
  </si>
  <si>
    <t>2A053</t>
    <phoneticPr fontId="27" type="noConversion"/>
  </si>
  <si>
    <t>2A101</t>
    <phoneticPr fontId="27" type="noConversion"/>
  </si>
  <si>
    <t>2A102</t>
    <phoneticPr fontId="27" type="noConversion"/>
  </si>
  <si>
    <t>2A103</t>
    <phoneticPr fontId="27" type="noConversion"/>
  </si>
  <si>
    <t>2A104</t>
    <phoneticPr fontId="27" type="noConversion"/>
  </si>
  <si>
    <t>2A105</t>
    <phoneticPr fontId="27" type="noConversion"/>
  </si>
  <si>
    <t>2A106</t>
    <phoneticPr fontId="27" type="noConversion"/>
  </si>
  <si>
    <t>2A107</t>
    <phoneticPr fontId="27" type="noConversion"/>
  </si>
  <si>
    <t>2A108</t>
    <phoneticPr fontId="27" type="noConversion"/>
  </si>
  <si>
    <t>2A109</t>
    <phoneticPr fontId="27" type="noConversion"/>
  </si>
  <si>
    <t>2A110</t>
    <phoneticPr fontId="27" type="noConversion"/>
  </si>
  <si>
    <t>2A111</t>
    <phoneticPr fontId="27" type="noConversion"/>
  </si>
  <si>
    <t>2A112</t>
    <phoneticPr fontId="27" type="noConversion"/>
  </si>
  <si>
    <t>2A113</t>
    <phoneticPr fontId="27" type="noConversion"/>
  </si>
  <si>
    <t>2A124</t>
  </si>
  <si>
    <t>2A125</t>
  </si>
  <si>
    <t>2A126</t>
  </si>
  <si>
    <t>2A127</t>
  </si>
  <si>
    <t>2A128</t>
  </si>
  <si>
    <t>2A129</t>
  </si>
  <si>
    <t>2A130</t>
  </si>
  <si>
    <t>2A131</t>
  </si>
  <si>
    <t>2A133</t>
  </si>
  <si>
    <t>2A134</t>
  </si>
  <si>
    <t>2A135</t>
  </si>
  <si>
    <t>2A136</t>
  </si>
  <si>
    <t>2A137</t>
  </si>
  <si>
    <t>2A138</t>
  </si>
  <si>
    <t>2A139</t>
  </si>
  <si>
    <t>2A140</t>
  </si>
  <si>
    <t>2A142</t>
  </si>
  <si>
    <t>2A143</t>
  </si>
  <si>
    <t>2A144</t>
  </si>
  <si>
    <t>2A027</t>
    <phoneticPr fontId="27" type="noConversion"/>
  </si>
  <si>
    <t>2A054</t>
    <phoneticPr fontId="27" type="noConversion"/>
  </si>
  <si>
    <t>2A060</t>
    <phoneticPr fontId="27" type="noConversion"/>
  </si>
  <si>
    <t>2A061</t>
    <phoneticPr fontId="27" type="noConversion"/>
  </si>
  <si>
    <t>2A062</t>
    <phoneticPr fontId="27" type="noConversion"/>
  </si>
  <si>
    <t>2A063</t>
    <phoneticPr fontId="27" type="noConversion"/>
  </si>
  <si>
    <t>2A064</t>
    <phoneticPr fontId="27" type="noConversion"/>
  </si>
  <si>
    <t>2A065</t>
    <phoneticPr fontId="27" type="noConversion"/>
  </si>
  <si>
    <t>2A066</t>
    <phoneticPr fontId="27" type="noConversion"/>
  </si>
  <si>
    <t>2A067</t>
    <phoneticPr fontId="27" type="noConversion"/>
  </si>
  <si>
    <t>2A068</t>
    <phoneticPr fontId="27" type="noConversion"/>
  </si>
  <si>
    <t>2A069</t>
    <phoneticPr fontId="27" type="noConversion"/>
  </si>
  <si>
    <t>2A070</t>
    <phoneticPr fontId="27" type="noConversion"/>
  </si>
  <si>
    <t>2A071</t>
    <phoneticPr fontId="27" type="noConversion"/>
  </si>
  <si>
    <t>2A072</t>
    <phoneticPr fontId="27" type="noConversion"/>
  </si>
  <si>
    <t>2A115</t>
    <phoneticPr fontId="27" type="noConversion"/>
  </si>
  <si>
    <t>2A116</t>
    <phoneticPr fontId="27" type="noConversion"/>
  </si>
  <si>
    <t>2A117</t>
    <phoneticPr fontId="27" type="noConversion"/>
  </si>
  <si>
    <t>2A118</t>
    <phoneticPr fontId="27" type="noConversion"/>
  </si>
  <si>
    <t>2A119</t>
    <phoneticPr fontId="27" type="noConversion"/>
  </si>
  <si>
    <t>2A120</t>
    <phoneticPr fontId="27" type="noConversion"/>
  </si>
  <si>
    <t>2A121</t>
    <phoneticPr fontId="27" type="noConversion"/>
  </si>
  <si>
    <t>2A122</t>
    <phoneticPr fontId="27" type="noConversion"/>
  </si>
  <si>
    <t>2A123</t>
    <phoneticPr fontId="27" type="noConversion"/>
  </si>
  <si>
    <t>2A132</t>
    <phoneticPr fontId="6" type="noConversion"/>
  </si>
  <si>
    <t>2A141</t>
    <phoneticPr fontId="6" type="noConversion"/>
  </si>
  <si>
    <t>2B080</t>
  </si>
  <si>
    <t>2B079</t>
  </si>
  <si>
    <t>2B078</t>
  </si>
  <si>
    <t>2B077</t>
  </si>
  <si>
    <t>2B076</t>
  </si>
  <si>
    <t>2B075</t>
  </si>
  <si>
    <t>2B074</t>
  </si>
  <si>
    <t>2B073</t>
  </si>
  <si>
    <t>2B072</t>
  </si>
  <si>
    <t>2B071</t>
  </si>
  <si>
    <t>2B070</t>
  </si>
  <si>
    <t>2B068</t>
  </si>
  <si>
    <t>2B066</t>
  </si>
  <si>
    <t>2B064</t>
  </si>
  <si>
    <t>2B062</t>
  </si>
  <si>
    <t>2B060</t>
  </si>
  <si>
    <t>2B058</t>
  </si>
  <si>
    <t>2B056</t>
  </si>
  <si>
    <t>2B054</t>
  </si>
  <si>
    <t>2B052</t>
  </si>
  <si>
    <t>2B050</t>
  </si>
  <si>
    <t>2B048</t>
  </si>
  <si>
    <t>2B046</t>
  </si>
  <si>
    <t>2B044</t>
  </si>
  <si>
    <t>2B042</t>
  </si>
  <si>
    <t>2B040</t>
  </si>
  <si>
    <t>2B038</t>
  </si>
  <si>
    <t>2B036</t>
  </si>
  <si>
    <t>2B034</t>
  </si>
  <si>
    <t>2B032</t>
  </si>
  <si>
    <t>2B030</t>
  </si>
  <si>
    <t>2B028</t>
  </si>
  <si>
    <t>2B026</t>
  </si>
  <si>
    <t>2B024</t>
  </si>
  <si>
    <t>2B022</t>
  </si>
  <si>
    <t>2B020</t>
  </si>
  <si>
    <t>2B018</t>
  </si>
  <si>
    <t>2B016</t>
  </si>
  <si>
    <t>2B014</t>
  </si>
  <si>
    <t>2B012</t>
  </si>
  <si>
    <t>2B010</t>
  </si>
  <si>
    <t>2B008</t>
  </si>
  <si>
    <t>2B006</t>
  </si>
  <si>
    <t>2B003</t>
  </si>
  <si>
    <t>2B002</t>
  </si>
  <si>
    <t>2B001</t>
  </si>
  <si>
    <t>2C034</t>
    <phoneticPr fontId="27" type="noConversion"/>
  </si>
  <si>
    <t>2C012</t>
    <phoneticPr fontId="27" type="noConversion"/>
  </si>
  <si>
    <t>2C013</t>
    <phoneticPr fontId="27" type="noConversion"/>
  </si>
  <si>
    <t>2C014</t>
    <phoneticPr fontId="27" type="noConversion"/>
  </si>
  <si>
    <t>2C015</t>
    <phoneticPr fontId="27" type="noConversion"/>
  </si>
  <si>
    <t>2A026</t>
    <phoneticPr fontId="27" type="noConversion"/>
  </si>
  <si>
    <t>2A025</t>
    <phoneticPr fontId="27" type="noConversion"/>
  </si>
  <si>
    <t xml:space="preserve"> ※ 착석 또는 이석에 체크하고
출결상황을 "O"표시해 주세요. </t>
    <phoneticPr fontId="27" type="noConversion"/>
  </si>
  <si>
    <t>□착석  /  □이석</t>
    <phoneticPr fontId="27" type="noConversion"/>
  </si>
  <si>
    <t>면학 요일</t>
    <phoneticPr fontId="6" type="noConversion"/>
  </si>
  <si>
    <t>기숙사</t>
    <phoneticPr fontId="27" type="noConversion"/>
  </si>
  <si>
    <t>2A111</t>
  </si>
  <si>
    <t>2A113</t>
  </si>
  <si>
    <t>2A115</t>
  </si>
  <si>
    <t>2A117</t>
  </si>
  <si>
    <t>2A120</t>
  </si>
  <si>
    <t>2A122</t>
  </si>
  <si>
    <t>2A123</t>
  </si>
  <si>
    <t>2A132</t>
  </si>
  <si>
    <t>2B001</t>
    <phoneticPr fontId="27" type="noConversion"/>
  </si>
  <si>
    <t>2B002</t>
    <phoneticPr fontId="27" type="noConversion"/>
  </si>
  <si>
    <t>2C001</t>
    <phoneticPr fontId="27" type="noConversion"/>
  </si>
  <si>
    <t>2C002</t>
    <phoneticPr fontId="27" type="noConversion"/>
  </si>
  <si>
    <t>2C004</t>
  </si>
  <si>
    <t>2C007</t>
  </si>
  <si>
    <t>2C009</t>
  </si>
  <si>
    <t>2C011</t>
  </si>
  <si>
    <t>2C013</t>
  </si>
  <si>
    <t>2C015</t>
  </si>
  <si>
    <t>2C016</t>
  </si>
  <si>
    <t>2C018</t>
  </si>
  <si>
    <t>2C020</t>
  </si>
  <si>
    <t>2C022</t>
  </si>
  <si>
    <t>2C024</t>
  </si>
  <si>
    <t>2C027</t>
  </si>
  <si>
    <t>2C029</t>
  </si>
  <si>
    <t>2C031</t>
  </si>
  <si>
    <t>2C033</t>
  </si>
  <si>
    <t>2D001</t>
    <phoneticPr fontId="27" type="noConversion"/>
  </si>
  <si>
    <t>2D002</t>
    <phoneticPr fontId="27" type="noConversion"/>
  </si>
  <si>
    <t>2A010</t>
    <phoneticPr fontId="27" type="noConversion"/>
  </si>
  <si>
    <t>2A141</t>
  </si>
  <si>
    <t>2A135</t>
    <phoneticPr fontId="27" type="noConversion"/>
  </si>
  <si>
    <t>출
입
문</t>
    <phoneticPr fontId="27" type="noConversion"/>
  </si>
  <si>
    <t>C</t>
    <phoneticPr fontId="27" type="noConversion"/>
  </si>
  <si>
    <t>2025년       월          일   (       )요일       감독교사                    (인)</t>
    <phoneticPr fontId="27" type="noConversion"/>
  </si>
  <si>
    <t xml:space="preserve"> </t>
    <phoneticPr fontId="27" type="noConversion"/>
  </si>
  <si>
    <t>김선율</t>
    <phoneticPr fontId="27" type="noConversion"/>
  </si>
  <si>
    <t>노현수</t>
    <phoneticPr fontId="27" type="noConversion"/>
  </si>
  <si>
    <t>월화수목</t>
    <phoneticPr fontId="27" type="noConversion"/>
  </si>
  <si>
    <t>신연운</t>
    <phoneticPr fontId="27" type="noConversion"/>
  </si>
  <si>
    <t>박종하</t>
    <phoneticPr fontId="27" type="noConversion"/>
  </si>
  <si>
    <t>변정빈</t>
    <phoneticPr fontId="27" type="noConversion"/>
  </si>
  <si>
    <t>강병훈</t>
    <phoneticPr fontId="27" type="noConversion"/>
  </si>
  <si>
    <t>김휘연</t>
    <phoneticPr fontId="27" type="noConversion"/>
  </si>
  <si>
    <t>조아훈</t>
    <phoneticPr fontId="27" type="noConversion"/>
  </si>
  <si>
    <t>고승혁</t>
    <phoneticPr fontId="27" type="noConversion"/>
  </si>
  <si>
    <t>월화수목금</t>
    <phoneticPr fontId="27" type="noConversion"/>
  </si>
  <si>
    <t>김우엽</t>
    <phoneticPr fontId="27" type="noConversion"/>
  </si>
  <si>
    <t>김지훈</t>
    <phoneticPr fontId="27" type="noConversion"/>
  </si>
  <si>
    <t>김승원</t>
    <phoneticPr fontId="27" type="noConversion"/>
  </si>
  <si>
    <t>김승하</t>
    <phoneticPr fontId="27" type="noConversion"/>
  </si>
  <si>
    <t>나정수</t>
    <phoneticPr fontId="27" type="noConversion"/>
  </si>
  <si>
    <t>홍석진</t>
    <phoneticPr fontId="27" type="noConversion"/>
  </si>
  <si>
    <t>조규민</t>
    <phoneticPr fontId="27" type="noConversion"/>
  </si>
  <si>
    <t>김건희</t>
    <phoneticPr fontId="27" type="noConversion"/>
  </si>
  <si>
    <t>석지원</t>
    <phoneticPr fontId="27" type="noConversion"/>
  </si>
  <si>
    <t>오수아</t>
    <phoneticPr fontId="27" type="noConversion"/>
  </si>
  <si>
    <t>조하은</t>
    <phoneticPr fontId="27" type="noConversion"/>
  </si>
  <si>
    <t>김서영</t>
    <phoneticPr fontId="27" type="noConversion"/>
  </si>
  <si>
    <t>연예은</t>
    <phoneticPr fontId="27" type="noConversion"/>
  </si>
  <si>
    <t>이나엘라</t>
    <phoneticPr fontId="27" type="noConversion"/>
  </si>
  <si>
    <t>이서현</t>
    <phoneticPr fontId="27" type="noConversion"/>
  </si>
  <si>
    <t>강지윤</t>
    <phoneticPr fontId="27" type="noConversion"/>
  </si>
  <si>
    <t>우효아</t>
    <phoneticPr fontId="27" type="noConversion"/>
  </si>
  <si>
    <t>조효인</t>
    <phoneticPr fontId="27" type="noConversion"/>
  </si>
  <si>
    <t>박민영</t>
    <phoneticPr fontId="27" type="noConversion"/>
  </si>
  <si>
    <t>전성주</t>
    <phoneticPr fontId="27" type="noConversion"/>
  </si>
  <si>
    <t>지수민</t>
    <phoneticPr fontId="27" type="noConversion"/>
  </si>
  <si>
    <t>이선영</t>
    <phoneticPr fontId="27" type="noConversion"/>
  </si>
  <si>
    <t>이수진</t>
    <phoneticPr fontId="27" type="noConversion"/>
  </si>
  <si>
    <t>이지수</t>
    <phoneticPr fontId="27" type="noConversion"/>
  </si>
  <si>
    <t>임예슬</t>
    <phoneticPr fontId="27" type="noConversion"/>
  </si>
  <si>
    <t>정지영</t>
    <phoneticPr fontId="27" type="noConversion"/>
  </si>
  <si>
    <t>최하진</t>
    <phoneticPr fontId="27" type="noConversion"/>
  </si>
  <si>
    <t>조하늬</t>
    <phoneticPr fontId="27" type="noConversion"/>
  </si>
  <si>
    <t>이재영</t>
    <phoneticPr fontId="27" type="noConversion"/>
  </si>
  <si>
    <t>정세윤</t>
    <phoneticPr fontId="27" type="noConversion"/>
  </si>
  <si>
    <t>한지민</t>
    <phoneticPr fontId="27" type="noConversion"/>
  </si>
  <si>
    <t>강서현</t>
    <phoneticPr fontId="27" type="noConversion"/>
  </si>
  <si>
    <t>박해원</t>
    <phoneticPr fontId="27" type="noConversion"/>
  </si>
  <si>
    <t>이하은</t>
    <phoneticPr fontId="27" type="noConversion"/>
  </si>
  <si>
    <t>전유담</t>
    <phoneticPr fontId="27" type="noConversion"/>
  </si>
  <si>
    <t>김솔</t>
    <phoneticPr fontId="27" type="noConversion"/>
  </si>
  <si>
    <t>EP면학X</t>
  </si>
  <si>
    <t>EP면학X</t>
    <phoneticPr fontId="27" type="noConversion"/>
  </si>
  <si>
    <t>김령연</t>
    <phoneticPr fontId="27" type="noConversion"/>
  </si>
  <si>
    <t>김효린</t>
    <phoneticPr fontId="27" type="noConversion"/>
  </si>
  <si>
    <t>박소하</t>
    <phoneticPr fontId="27" type="noConversion"/>
  </si>
  <si>
    <t>박연우</t>
    <phoneticPr fontId="27" type="noConversion"/>
  </si>
  <si>
    <t>서다나</t>
    <phoneticPr fontId="27" type="noConversion"/>
  </si>
  <si>
    <t>신유나</t>
    <phoneticPr fontId="27" type="noConversion"/>
  </si>
  <si>
    <t>원소윤</t>
    <phoneticPr fontId="27" type="noConversion"/>
  </si>
  <si>
    <t>신지수</t>
    <phoneticPr fontId="27" type="noConversion"/>
  </si>
  <si>
    <t>윤서연</t>
    <phoneticPr fontId="27" type="noConversion"/>
  </si>
  <si>
    <t>양예은</t>
    <phoneticPr fontId="27" type="noConversion"/>
  </si>
  <si>
    <t>이다은</t>
    <phoneticPr fontId="27" type="noConversion"/>
  </si>
  <si>
    <t>월화목</t>
    <phoneticPr fontId="27" type="noConversion"/>
  </si>
  <si>
    <t>장현채</t>
    <phoneticPr fontId="27" type="noConversion"/>
  </si>
  <si>
    <t>이유림</t>
    <phoneticPr fontId="27" type="noConversion"/>
  </si>
  <si>
    <t>이지윤</t>
    <phoneticPr fontId="27" type="noConversion"/>
  </si>
  <si>
    <t>정유빈</t>
    <phoneticPr fontId="27" type="noConversion"/>
  </si>
  <si>
    <t>전원희</t>
    <phoneticPr fontId="27" type="noConversion"/>
  </si>
  <si>
    <t>정효주</t>
    <phoneticPr fontId="27" type="noConversion"/>
  </si>
  <si>
    <t>진나현</t>
    <phoneticPr fontId="27" type="noConversion"/>
  </si>
  <si>
    <t>한지효</t>
    <phoneticPr fontId="27" type="noConversion"/>
  </si>
  <si>
    <t>최여정</t>
    <phoneticPr fontId="27" type="noConversion"/>
  </si>
  <si>
    <t>김수현</t>
    <phoneticPr fontId="27" type="noConversion"/>
  </si>
  <si>
    <t>김민선</t>
    <phoneticPr fontId="27" type="noConversion"/>
  </si>
  <si>
    <t>나윤서</t>
    <phoneticPr fontId="27" type="noConversion"/>
  </si>
  <si>
    <t>송효주</t>
    <phoneticPr fontId="27" type="noConversion"/>
  </si>
  <si>
    <t>남현지</t>
    <phoneticPr fontId="27" type="noConversion"/>
  </si>
  <si>
    <t>신윤서</t>
    <phoneticPr fontId="27" type="noConversion"/>
  </si>
  <si>
    <t>박지우</t>
    <phoneticPr fontId="27" type="noConversion"/>
  </si>
  <si>
    <t>심비주</t>
    <phoneticPr fontId="27" type="noConversion"/>
  </si>
  <si>
    <t>안수인</t>
    <phoneticPr fontId="27" type="noConversion"/>
  </si>
  <si>
    <t>박혜은</t>
    <phoneticPr fontId="27" type="noConversion"/>
  </si>
  <si>
    <t>유지원</t>
    <phoneticPr fontId="27" type="noConversion"/>
  </si>
  <si>
    <t>최예빈</t>
    <phoneticPr fontId="27" type="noConversion"/>
  </si>
  <si>
    <t>이서빈</t>
    <phoneticPr fontId="27" type="noConversion"/>
  </si>
  <si>
    <t>한예현</t>
    <phoneticPr fontId="27" type="noConversion"/>
  </si>
  <si>
    <t>이은</t>
    <phoneticPr fontId="27" type="noConversion"/>
  </si>
  <si>
    <t>한지우</t>
    <phoneticPr fontId="27" type="noConversion"/>
  </si>
  <si>
    <t>허윤지</t>
    <phoneticPr fontId="27" type="noConversion"/>
  </si>
  <si>
    <t>권민성</t>
    <phoneticPr fontId="27" type="noConversion"/>
  </si>
  <si>
    <t>김유리</t>
    <phoneticPr fontId="27" type="noConversion"/>
  </si>
  <si>
    <t>김유안</t>
    <phoneticPr fontId="27" type="noConversion"/>
  </si>
  <si>
    <t>문서영</t>
    <phoneticPr fontId="27" type="noConversion"/>
  </si>
  <si>
    <t>오혜빈</t>
    <phoneticPr fontId="27" type="noConversion"/>
  </si>
  <si>
    <t>장연주</t>
    <phoneticPr fontId="27" type="noConversion"/>
  </si>
  <si>
    <t>김나연</t>
    <phoneticPr fontId="27" type="noConversion"/>
  </si>
  <si>
    <t>한초윤</t>
    <phoneticPr fontId="27" type="noConversion"/>
  </si>
  <si>
    <t>남지윤</t>
    <phoneticPr fontId="27" type="noConversion"/>
  </si>
  <si>
    <t>유초열</t>
    <phoneticPr fontId="27" type="noConversion"/>
  </si>
  <si>
    <t>이나경</t>
    <phoneticPr fontId="27" type="noConversion"/>
  </si>
  <si>
    <t>이민선</t>
    <phoneticPr fontId="27" type="noConversion"/>
  </si>
  <si>
    <t>장영우</t>
    <phoneticPr fontId="27" type="noConversion"/>
  </si>
  <si>
    <t>전아정</t>
    <phoneticPr fontId="27" type="noConversion"/>
  </si>
  <si>
    <t>정혜인</t>
    <phoneticPr fontId="27" type="noConversion"/>
  </si>
  <si>
    <t>조지윤</t>
    <phoneticPr fontId="27" type="noConversion"/>
  </si>
  <si>
    <t>홍유진</t>
    <phoneticPr fontId="27" type="noConversion"/>
  </si>
  <si>
    <t>남효정</t>
    <phoneticPr fontId="27" type="noConversion"/>
  </si>
  <si>
    <t>박선영</t>
    <phoneticPr fontId="27" type="noConversion"/>
  </si>
  <si>
    <t>엄수영</t>
    <phoneticPr fontId="27" type="noConversion"/>
  </si>
  <si>
    <t>이다연</t>
    <phoneticPr fontId="27" type="noConversion"/>
  </si>
  <si>
    <t>이지효</t>
    <phoneticPr fontId="27" type="noConversion"/>
  </si>
  <si>
    <t>임소은</t>
    <phoneticPr fontId="27" type="noConversion"/>
  </si>
  <si>
    <t>전가은</t>
    <phoneticPr fontId="27" type="noConversion"/>
  </si>
  <si>
    <t>최경은</t>
    <phoneticPr fontId="27" type="noConversion"/>
  </si>
  <si>
    <t>강민주</t>
    <phoneticPr fontId="27" type="noConversion"/>
  </si>
  <si>
    <t>강서영</t>
    <phoneticPr fontId="27" type="noConversion"/>
  </si>
  <si>
    <t>김예은</t>
    <phoneticPr fontId="27" type="noConversion"/>
  </si>
  <si>
    <t>변가은</t>
    <phoneticPr fontId="27" type="noConversion"/>
  </si>
  <si>
    <t>안세은</t>
    <phoneticPr fontId="27" type="noConversion"/>
  </si>
  <si>
    <t>안연수</t>
    <phoneticPr fontId="27" type="noConversion"/>
  </si>
  <si>
    <t>조은빈</t>
    <phoneticPr fontId="27" type="noConversion"/>
  </si>
  <si>
    <t>진채영</t>
    <phoneticPr fontId="27" type="noConversion"/>
  </si>
  <si>
    <t>하다희</t>
    <phoneticPr fontId="27" type="noConversion"/>
  </si>
  <si>
    <t>황은채</t>
    <phoneticPr fontId="27" type="noConversion"/>
  </si>
  <si>
    <t>김윤영</t>
    <phoneticPr fontId="27" type="noConversion"/>
  </si>
  <si>
    <t>신서연</t>
    <phoneticPr fontId="27" type="noConversion"/>
  </si>
  <si>
    <t>안소윤</t>
    <phoneticPr fontId="27" type="noConversion"/>
  </si>
  <si>
    <t>우희승</t>
    <phoneticPr fontId="27" type="noConversion"/>
  </si>
  <si>
    <t>김아현</t>
    <phoneticPr fontId="27" type="noConversion"/>
  </si>
  <si>
    <t>변채은</t>
    <phoneticPr fontId="27" type="noConversion"/>
  </si>
  <si>
    <t>원지현</t>
    <phoneticPr fontId="27" type="noConversion"/>
  </si>
  <si>
    <t>최수정</t>
    <phoneticPr fontId="27" type="noConversion"/>
  </si>
  <si>
    <t>최여울</t>
    <phoneticPr fontId="27" type="noConversion"/>
  </si>
  <si>
    <t>홍유정</t>
    <phoneticPr fontId="27" type="noConversion"/>
  </si>
  <si>
    <t>강희주</t>
    <phoneticPr fontId="27" type="noConversion"/>
  </si>
  <si>
    <t>김나경</t>
    <phoneticPr fontId="27" type="noConversion"/>
  </si>
  <si>
    <t>김래은</t>
    <phoneticPr fontId="27" type="noConversion"/>
  </si>
  <si>
    <t>김보민</t>
    <phoneticPr fontId="27" type="noConversion"/>
  </si>
  <si>
    <t>김서연</t>
    <phoneticPr fontId="27" type="noConversion"/>
  </si>
  <si>
    <t>김유민</t>
    <phoneticPr fontId="27" type="noConversion"/>
  </si>
  <si>
    <t>신유희</t>
    <phoneticPr fontId="27" type="noConversion"/>
  </si>
  <si>
    <t>양현서</t>
    <phoneticPr fontId="27" type="noConversion"/>
  </si>
  <si>
    <t>조은진</t>
    <phoneticPr fontId="27" type="noConversion"/>
  </si>
  <si>
    <t>최지우</t>
    <phoneticPr fontId="27" type="noConversion"/>
  </si>
  <si>
    <t>류영주</t>
    <phoneticPr fontId="27" type="noConversion"/>
  </si>
  <si>
    <t>이윤주</t>
    <phoneticPr fontId="27" type="noConversion"/>
  </si>
  <si>
    <t>권라희</t>
    <phoneticPr fontId="27" type="noConversion"/>
  </si>
  <si>
    <t>김지예</t>
    <phoneticPr fontId="27" type="noConversion"/>
  </si>
  <si>
    <t>박세연</t>
    <phoneticPr fontId="27" type="noConversion"/>
  </si>
  <si>
    <t>정혜원</t>
    <phoneticPr fontId="27" type="noConversion"/>
  </si>
  <si>
    <t>최은서</t>
    <phoneticPr fontId="27" type="noConversion"/>
  </si>
  <si>
    <t>김민경</t>
    <phoneticPr fontId="27" type="noConversion"/>
  </si>
  <si>
    <t>김수빈</t>
    <phoneticPr fontId="27" type="noConversion"/>
  </si>
  <si>
    <t>김하은</t>
    <phoneticPr fontId="27" type="noConversion"/>
  </si>
  <si>
    <t>안지현</t>
    <phoneticPr fontId="27" type="noConversion"/>
  </si>
  <si>
    <t>양채원</t>
    <phoneticPr fontId="27" type="noConversion"/>
  </si>
  <si>
    <t>장서현</t>
    <phoneticPr fontId="27" type="noConversion"/>
  </si>
  <si>
    <t>조윤서</t>
    <phoneticPr fontId="27" type="noConversion"/>
  </si>
  <si>
    <t>임은우</t>
    <phoneticPr fontId="27" type="noConversion"/>
  </si>
  <si>
    <t>정연수</t>
    <phoneticPr fontId="27" type="noConversion"/>
  </si>
  <si>
    <t>한서연</t>
    <phoneticPr fontId="27" type="noConversion"/>
  </si>
  <si>
    <t>강민영</t>
    <phoneticPr fontId="27" type="noConversion"/>
  </si>
  <si>
    <t>김가현</t>
    <phoneticPr fontId="27" type="noConversion"/>
  </si>
  <si>
    <t>서아윤</t>
    <phoneticPr fontId="27" type="noConversion"/>
  </si>
  <si>
    <t>송연지</t>
    <phoneticPr fontId="27" type="noConversion"/>
  </si>
  <si>
    <t>권은진</t>
    <phoneticPr fontId="27" type="noConversion"/>
  </si>
  <si>
    <t>김민지</t>
    <phoneticPr fontId="27" type="noConversion"/>
  </si>
  <si>
    <t>김온유</t>
    <phoneticPr fontId="27" type="noConversion"/>
  </si>
  <si>
    <t>김하랑</t>
    <phoneticPr fontId="27" type="noConversion"/>
  </si>
  <si>
    <t>백시윤</t>
    <phoneticPr fontId="27" type="noConversion"/>
  </si>
  <si>
    <t>엄여울</t>
    <phoneticPr fontId="27" type="noConversion"/>
  </si>
  <si>
    <t>이승안</t>
    <phoneticPr fontId="27" type="noConversion"/>
  </si>
  <si>
    <t>이현희</t>
    <phoneticPr fontId="27" type="noConversion"/>
  </si>
  <si>
    <t>정여은</t>
    <phoneticPr fontId="27" type="noConversion"/>
  </si>
  <si>
    <t>조채원</t>
    <phoneticPr fontId="27" type="noConversion"/>
  </si>
  <si>
    <t>하다연</t>
    <phoneticPr fontId="27" type="noConversion"/>
  </si>
  <si>
    <t>김민서</t>
    <phoneticPr fontId="27" type="noConversion"/>
  </si>
  <si>
    <t>박주원</t>
    <phoneticPr fontId="27" type="noConversion"/>
  </si>
  <si>
    <t>유윤지</t>
    <phoneticPr fontId="27" type="noConversion"/>
  </si>
  <si>
    <t>윤수빈</t>
    <phoneticPr fontId="27" type="noConversion"/>
  </si>
  <si>
    <t>이가은</t>
    <phoneticPr fontId="27" type="noConversion"/>
  </si>
  <si>
    <t>이서연</t>
    <phoneticPr fontId="27" type="noConversion"/>
  </si>
  <si>
    <t>이서희</t>
    <phoneticPr fontId="27" type="noConversion"/>
  </si>
  <si>
    <t>이채린</t>
    <phoneticPr fontId="27" type="noConversion"/>
  </si>
  <si>
    <t>지서현</t>
    <phoneticPr fontId="27" type="noConversion"/>
  </si>
  <si>
    <t>진여정</t>
    <phoneticPr fontId="27" type="noConversion"/>
  </si>
  <si>
    <t>김유진</t>
    <phoneticPr fontId="27" type="noConversion"/>
  </si>
  <si>
    <t>나지애</t>
    <phoneticPr fontId="27" type="noConversion"/>
  </si>
  <si>
    <t>신지민</t>
    <phoneticPr fontId="27" type="noConversion"/>
  </si>
  <si>
    <t>유정원</t>
    <phoneticPr fontId="27" type="noConversion"/>
  </si>
  <si>
    <t>이서영</t>
    <phoneticPr fontId="27" type="noConversion"/>
  </si>
  <si>
    <t>정하윤</t>
    <phoneticPr fontId="27" type="noConversion"/>
  </si>
  <si>
    <t>진아현</t>
    <phoneticPr fontId="27" type="noConversion"/>
  </si>
  <si>
    <t>최하은</t>
    <phoneticPr fontId="27" type="noConversion"/>
  </si>
  <si>
    <t>현다은</t>
    <phoneticPr fontId="27" type="noConversion"/>
  </si>
  <si>
    <t>김명윤</t>
    <phoneticPr fontId="27" type="noConversion"/>
  </si>
  <si>
    <t>박윤서</t>
    <phoneticPr fontId="27" type="noConversion"/>
  </si>
  <si>
    <t>여희수</t>
    <phoneticPr fontId="27" type="noConversion"/>
  </si>
  <si>
    <t>이채빈</t>
    <phoneticPr fontId="27" type="noConversion"/>
  </si>
  <si>
    <t>장소정</t>
    <phoneticPr fontId="27" type="noConversion"/>
  </si>
  <si>
    <t>정희영</t>
    <phoneticPr fontId="27" type="noConversion"/>
  </si>
  <si>
    <t>최시아</t>
    <phoneticPr fontId="27" type="noConversion"/>
  </si>
  <si>
    <t>기승하</t>
    <phoneticPr fontId="27" type="noConversion"/>
  </si>
  <si>
    <t>김다현</t>
    <phoneticPr fontId="27" type="noConversion"/>
  </si>
  <si>
    <t>김서현</t>
    <phoneticPr fontId="27" type="noConversion"/>
  </si>
  <si>
    <t>김유은</t>
    <phoneticPr fontId="27" type="noConversion"/>
  </si>
  <si>
    <t>박지민</t>
    <phoneticPr fontId="27" type="noConversion"/>
  </si>
  <si>
    <t>안현빈</t>
    <phoneticPr fontId="27" type="noConversion"/>
  </si>
  <si>
    <t>이정음</t>
    <phoneticPr fontId="27" type="noConversion"/>
  </si>
  <si>
    <t>전소윤</t>
    <phoneticPr fontId="27" type="noConversion"/>
  </si>
  <si>
    <t>조유진</t>
    <phoneticPr fontId="27" type="noConversion"/>
  </si>
  <si>
    <t>주민하</t>
    <phoneticPr fontId="27" type="noConversion"/>
  </si>
  <si>
    <t>허혜정</t>
    <phoneticPr fontId="27" type="noConversion"/>
  </si>
  <si>
    <t>강유나</t>
    <phoneticPr fontId="27" type="noConversion"/>
  </si>
  <si>
    <t>김민솔</t>
    <phoneticPr fontId="27" type="noConversion"/>
  </si>
  <si>
    <t>김지안</t>
    <phoneticPr fontId="27" type="noConversion"/>
  </si>
  <si>
    <t>류희주</t>
    <phoneticPr fontId="27" type="noConversion"/>
  </si>
  <si>
    <t>박채영</t>
    <phoneticPr fontId="27" type="noConversion"/>
  </si>
  <si>
    <t>백지윤</t>
    <phoneticPr fontId="27" type="noConversion"/>
  </si>
  <si>
    <t>신은서</t>
    <phoneticPr fontId="27" type="noConversion"/>
  </si>
  <si>
    <t>윤시아</t>
    <phoneticPr fontId="27" type="noConversion"/>
  </si>
  <si>
    <t>임예원</t>
    <phoneticPr fontId="27" type="noConversion"/>
  </si>
  <si>
    <t>박주혜</t>
    <phoneticPr fontId="27" type="noConversion"/>
  </si>
  <si>
    <t>서지우</t>
    <phoneticPr fontId="27" type="noConversion"/>
  </si>
  <si>
    <t>우서아</t>
    <phoneticPr fontId="27" type="noConversion"/>
  </si>
  <si>
    <t>이시언</t>
    <phoneticPr fontId="27" type="noConversion"/>
  </si>
  <si>
    <t>최재원</t>
    <phoneticPr fontId="27" type="noConversion"/>
  </si>
  <si>
    <t>조우현</t>
    <phoneticPr fontId="27" type="noConversion"/>
  </si>
  <si>
    <t>이지율</t>
    <phoneticPr fontId="27" type="noConversion"/>
  </si>
  <si>
    <t>이민준</t>
    <phoneticPr fontId="27" type="noConversion"/>
  </si>
  <si>
    <t>윤서진</t>
    <phoneticPr fontId="27" type="noConversion"/>
  </si>
  <si>
    <t>우재호</t>
    <phoneticPr fontId="27" type="noConversion"/>
  </si>
  <si>
    <t>김재웅</t>
    <phoneticPr fontId="27" type="noConversion"/>
  </si>
  <si>
    <t>김시우</t>
    <phoneticPr fontId="27" type="noConversion"/>
  </si>
  <si>
    <t>곽형원</t>
    <phoneticPr fontId="27" type="noConversion"/>
  </si>
  <si>
    <t>안형규</t>
    <phoneticPr fontId="27" type="noConversion"/>
  </si>
  <si>
    <t>홍이룸</t>
    <phoneticPr fontId="27" type="noConversion"/>
  </si>
  <si>
    <t>이지범</t>
    <phoneticPr fontId="27" type="noConversion"/>
  </si>
  <si>
    <t>김재원</t>
    <phoneticPr fontId="27" type="noConversion"/>
  </si>
  <si>
    <t>강민혁</t>
    <phoneticPr fontId="27" type="noConversion"/>
  </si>
  <si>
    <t>장현진</t>
    <phoneticPr fontId="27" type="noConversion"/>
  </si>
  <si>
    <t>이은성</t>
    <phoneticPr fontId="27" type="noConversion"/>
  </si>
  <si>
    <t>강상원</t>
    <phoneticPr fontId="27" type="noConversion"/>
  </si>
  <si>
    <t>황찬휘</t>
    <phoneticPr fontId="27" type="noConversion"/>
  </si>
  <si>
    <t>이세준</t>
    <phoneticPr fontId="27" type="noConversion"/>
  </si>
  <si>
    <t>장성현</t>
    <phoneticPr fontId="27" type="noConversion"/>
  </si>
  <si>
    <t>이정우</t>
    <phoneticPr fontId="27" type="noConversion"/>
  </si>
  <si>
    <t>서장협</t>
    <phoneticPr fontId="27" type="noConversion"/>
  </si>
  <si>
    <t>김준휘</t>
    <phoneticPr fontId="27" type="noConversion"/>
  </si>
  <si>
    <t>금성</t>
    <phoneticPr fontId="27" type="noConversion"/>
  </si>
  <si>
    <t>최시원</t>
    <phoneticPr fontId="27" type="noConversion"/>
  </si>
  <si>
    <t>전우혁</t>
    <phoneticPr fontId="27" type="noConversion"/>
  </si>
  <si>
    <t>이준서</t>
    <phoneticPr fontId="27" type="noConversion"/>
  </si>
  <si>
    <t>배서준</t>
    <phoneticPr fontId="27" type="noConversion"/>
  </si>
  <si>
    <t>김명주</t>
    <phoneticPr fontId="27" type="noConversion"/>
  </si>
  <si>
    <t>전수현</t>
    <phoneticPr fontId="27" type="noConversion"/>
  </si>
  <si>
    <t>박승호</t>
    <phoneticPr fontId="27" type="noConversion"/>
  </si>
  <si>
    <t>한병훈</t>
    <phoneticPr fontId="27" type="noConversion"/>
  </si>
  <si>
    <t>최치민</t>
    <phoneticPr fontId="27" type="noConversion"/>
  </si>
  <si>
    <t>이정</t>
    <phoneticPr fontId="27" type="noConversion"/>
  </si>
  <si>
    <t>이승주</t>
    <phoneticPr fontId="27" type="noConversion"/>
  </si>
  <si>
    <t>윤재혁</t>
    <phoneticPr fontId="27" type="noConversion"/>
  </si>
  <si>
    <t>성재용</t>
    <phoneticPr fontId="27" type="noConversion"/>
  </si>
  <si>
    <t>선규민</t>
    <phoneticPr fontId="27" type="noConversion"/>
  </si>
  <si>
    <t>박서진</t>
    <phoneticPr fontId="27" type="noConversion"/>
  </si>
  <si>
    <t>김진호</t>
    <phoneticPr fontId="27" type="noConversion"/>
  </si>
  <si>
    <t>구본욱</t>
    <phoneticPr fontId="27" type="noConversion"/>
  </si>
  <si>
    <t>고은율</t>
    <phoneticPr fontId="27" type="noConversion"/>
  </si>
  <si>
    <t>장성욱</t>
    <phoneticPr fontId="27" type="noConversion"/>
  </si>
  <si>
    <t>이주형</t>
    <phoneticPr fontId="27" type="noConversion"/>
  </si>
  <si>
    <t>박동빈</t>
    <phoneticPr fontId="27" type="noConversion"/>
  </si>
  <si>
    <t>김동언</t>
    <phoneticPr fontId="27" type="noConversion"/>
  </si>
  <si>
    <t>강은혁</t>
    <phoneticPr fontId="27" type="noConversion"/>
  </si>
  <si>
    <t>최영운</t>
    <phoneticPr fontId="27" type="noConversion"/>
  </si>
  <si>
    <t>최동혁</t>
    <phoneticPr fontId="27" type="noConversion"/>
  </si>
  <si>
    <t>이윤서</t>
    <phoneticPr fontId="27" type="noConversion"/>
  </si>
  <si>
    <t>화수목</t>
    <phoneticPr fontId="27" type="noConversion"/>
  </si>
  <si>
    <t>윤찬빈</t>
    <phoneticPr fontId="27" type="noConversion"/>
  </si>
  <si>
    <t>손민준</t>
    <phoneticPr fontId="27" type="noConversion"/>
  </si>
  <si>
    <t>박찬빈</t>
    <phoneticPr fontId="27" type="noConversion"/>
  </si>
  <si>
    <t>김민석</t>
    <phoneticPr fontId="27" type="noConversion"/>
  </si>
  <si>
    <t>홍정원</t>
    <phoneticPr fontId="27" type="noConversion"/>
  </si>
  <si>
    <t>한정윤</t>
    <phoneticPr fontId="27" type="noConversion"/>
  </si>
  <si>
    <t>한서준</t>
    <phoneticPr fontId="27" type="noConversion"/>
  </si>
  <si>
    <t>조용준</t>
    <phoneticPr fontId="27" type="noConversion"/>
  </si>
  <si>
    <t>장민훈</t>
    <phoneticPr fontId="27" type="noConversion"/>
  </si>
  <si>
    <t>이서준</t>
    <phoneticPr fontId="27" type="noConversion"/>
  </si>
  <si>
    <t>박상훈</t>
    <phoneticPr fontId="27" type="noConversion"/>
  </si>
  <si>
    <t>박상윤</t>
    <phoneticPr fontId="27" type="noConversion"/>
  </si>
  <si>
    <t>김규진</t>
    <phoneticPr fontId="27" type="noConversion"/>
  </si>
  <si>
    <t>국건</t>
    <phoneticPr fontId="27" type="noConversion"/>
  </si>
  <si>
    <t>강민성</t>
    <phoneticPr fontId="27" type="noConversion"/>
  </si>
  <si>
    <t>이지호</t>
    <phoneticPr fontId="27" type="noConversion"/>
  </si>
  <si>
    <t>이송현</t>
    <phoneticPr fontId="27" type="noConversion"/>
  </si>
  <si>
    <t>오민석</t>
    <phoneticPr fontId="27" type="noConversion"/>
  </si>
  <si>
    <t>신현서</t>
    <phoneticPr fontId="27" type="noConversion"/>
  </si>
  <si>
    <t>손이동</t>
    <phoneticPr fontId="27" type="noConversion"/>
  </si>
  <si>
    <t>방재원</t>
    <phoneticPr fontId="27" type="noConversion"/>
  </si>
  <si>
    <t>김형우</t>
    <phoneticPr fontId="27" type="noConversion"/>
  </si>
  <si>
    <t>최동인</t>
    <phoneticPr fontId="27" type="noConversion"/>
  </si>
  <si>
    <t>이선재</t>
    <phoneticPr fontId="27" type="noConversion"/>
  </si>
  <si>
    <t>이강은</t>
    <phoneticPr fontId="27" type="noConversion"/>
  </si>
  <si>
    <t>오대규</t>
    <phoneticPr fontId="27" type="noConversion"/>
  </si>
  <si>
    <t>박민호</t>
    <phoneticPr fontId="27" type="noConversion"/>
  </si>
  <si>
    <t>박기현</t>
    <phoneticPr fontId="27" type="noConversion"/>
  </si>
  <si>
    <t>김현준</t>
    <phoneticPr fontId="27" type="noConversion"/>
  </si>
  <si>
    <t>강성원</t>
    <phoneticPr fontId="27" type="noConversion"/>
  </si>
  <si>
    <t>주한재</t>
    <phoneticPr fontId="27" type="noConversion"/>
  </si>
  <si>
    <t>이호찬</t>
    <phoneticPr fontId="27" type="noConversion"/>
  </si>
  <si>
    <t>이예찬</t>
    <phoneticPr fontId="27" type="noConversion"/>
  </si>
  <si>
    <t>신준우</t>
    <phoneticPr fontId="27" type="noConversion"/>
  </si>
  <si>
    <t>박진표</t>
    <phoneticPr fontId="27" type="noConversion"/>
  </si>
  <si>
    <t>김휘원</t>
    <phoneticPr fontId="27" type="noConversion"/>
  </si>
  <si>
    <t>임현성</t>
    <phoneticPr fontId="27" type="noConversion"/>
  </si>
  <si>
    <t>김지율</t>
    <phoneticPr fontId="27" type="noConversion"/>
  </si>
  <si>
    <t>이연</t>
    <phoneticPr fontId="27" type="noConversion"/>
  </si>
  <si>
    <t>윤용수</t>
    <phoneticPr fontId="27" type="noConversion"/>
  </si>
  <si>
    <t>박성민</t>
    <phoneticPr fontId="27" type="noConversion"/>
  </si>
  <si>
    <t>노진</t>
    <phoneticPr fontId="27" type="noConversion"/>
  </si>
  <si>
    <t>김희수</t>
    <phoneticPr fontId="27" type="noConversion"/>
  </si>
  <si>
    <t>김승언</t>
    <phoneticPr fontId="27" type="noConversion"/>
  </si>
  <si>
    <t>김세현</t>
    <phoneticPr fontId="27" type="noConversion"/>
  </si>
  <si>
    <t>조상훈</t>
    <phoneticPr fontId="27" type="noConversion"/>
  </si>
  <si>
    <t>이준희</t>
    <phoneticPr fontId="27" type="noConversion"/>
  </si>
  <si>
    <t>송정우</t>
    <phoneticPr fontId="27" type="noConversion"/>
  </si>
  <si>
    <t>조석현</t>
    <phoneticPr fontId="27" type="noConversion"/>
  </si>
  <si>
    <t>이후민</t>
    <phoneticPr fontId="27" type="noConversion"/>
  </si>
  <si>
    <t>이현진</t>
    <phoneticPr fontId="27" type="noConversion"/>
  </si>
  <si>
    <t>허현수</t>
    <phoneticPr fontId="27" type="noConversion"/>
  </si>
  <si>
    <t>김동현</t>
    <phoneticPr fontId="27" type="noConversion"/>
  </si>
  <si>
    <t>김도현</t>
    <phoneticPr fontId="27" type="noConversion"/>
  </si>
  <si>
    <t>최기현</t>
    <phoneticPr fontId="27" type="noConversion"/>
  </si>
  <si>
    <t>정승수</t>
    <phoneticPr fontId="27" type="noConversion"/>
  </si>
  <si>
    <t>강진규</t>
    <phoneticPr fontId="27" type="noConversion"/>
  </si>
  <si>
    <t>이영민</t>
    <phoneticPr fontId="27" type="noConversion"/>
  </si>
  <si>
    <t>이상빈</t>
    <phoneticPr fontId="27" type="noConversion"/>
  </si>
  <si>
    <t>김동혁</t>
    <phoneticPr fontId="27" type="noConversion"/>
  </si>
  <si>
    <t>구강현</t>
    <phoneticPr fontId="27" type="noConversion"/>
  </si>
  <si>
    <t>이준석</t>
    <phoneticPr fontId="27" type="noConversion"/>
  </si>
  <si>
    <t>유호성</t>
    <phoneticPr fontId="27" type="noConversion"/>
  </si>
  <si>
    <t>유동훈</t>
    <phoneticPr fontId="27" type="noConversion"/>
  </si>
  <si>
    <t>오서원</t>
    <phoneticPr fontId="27" type="noConversion"/>
  </si>
  <si>
    <t>류현찬</t>
    <phoneticPr fontId="27" type="noConversion"/>
  </si>
  <si>
    <t>김정인</t>
    <phoneticPr fontId="27" type="noConversion"/>
  </si>
  <si>
    <t>이건호</t>
    <phoneticPr fontId="27" type="noConversion"/>
  </si>
  <si>
    <t>박채환</t>
    <phoneticPr fontId="27" type="noConversion"/>
  </si>
  <si>
    <t>박상현</t>
    <phoneticPr fontId="27" type="noConversion"/>
  </si>
  <si>
    <t>문재희</t>
    <phoneticPr fontId="27" type="noConversion"/>
  </si>
  <si>
    <t>김민성</t>
    <phoneticPr fontId="27" type="noConversion"/>
  </si>
  <si>
    <t>김민상</t>
    <phoneticPr fontId="27" type="noConversion"/>
  </si>
  <si>
    <t>이현</t>
    <phoneticPr fontId="27" type="noConversion"/>
  </si>
  <si>
    <t>김민겸</t>
    <phoneticPr fontId="27" type="noConversion"/>
  </si>
  <si>
    <t>김나현</t>
    <phoneticPr fontId="27" type="noConversion"/>
  </si>
  <si>
    <t>월목</t>
    <phoneticPr fontId="27" type="noConversion"/>
  </si>
  <si>
    <t>이나연</t>
    <phoneticPr fontId="27" type="noConversion"/>
  </si>
  <si>
    <t>자율관 2층 배치도(2025. 11. 03. ~)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</si>
</sst>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name val="돋움체"/>
      <family val="3"/>
      <charset val="129"/>
    </font>
    <font>
      <sz val="8"/>
      <name val="맑은 고딕"/>
      <family val="3"/>
      <charset val="129"/>
    </font>
    <font>
      <sz val="8"/>
      <name val="돋움체"/>
      <family val="3"/>
      <charset val="129"/>
    </font>
    <font>
      <sz val="9"/>
      <name val="돋움체"/>
      <family val="3"/>
      <charset val="129"/>
    </font>
    <font>
      <sz val="12"/>
      <name val="돋움체"/>
      <family val="3"/>
      <charset val="129"/>
    </font>
    <font>
      <b/>
      <sz val="12"/>
      <name val="돋움체"/>
      <family val="3"/>
      <charset val="129"/>
    </font>
    <font>
      <b/>
      <sz val="20"/>
      <name val="새굴림"/>
      <family val="1"/>
      <charset val="129"/>
    </font>
    <font>
      <b/>
      <sz val="11"/>
      <color indexed="10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0"/>
      <name val="돋움체"/>
      <family val="3"/>
      <charset val="129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25252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돋움체"/>
      <family val="3"/>
      <charset val="129"/>
    </font>
    <font>
      <sz val="10"/>
      <name val="돋움체"/>
      <family val="3"/>
      <charset val="129"/>
    </font>
    <font>
      <b/>
      <sz val="22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함초롬돋움"/>
      <family val="3"/>
      <charset val="129"/>
    </font>
    <font>
      <sz val="8"/>
      <name val="맑은 고딕"/>
      <family val="3"/>
      <charset val="129"/>
      <scheme val="minor"/>
    </font>
    <font>
      <sz val="9"/>
      <color theme="0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2"/>
      <color theme="0"/>
      <name val="돋움체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20"/>
      <name val="돋움체"/>
      <family val="3"/>
      <charset val="129"/>
    </font>
    <font>
      <sz val="10"/>
      <color theme="1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한컴산뜻돋움"/>
      <family val="3"/>
      <charset val="129"/>
    </font>
    <font>
      <sz val="11"/>
      <name val="한컴산뜻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한컴산뜻돋움"/>
      <family val="3"/>
      <charset val="129"/>
    </font>
    <font>
      <b/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4"/>
      <color rgb="FFFF0000"/>
      <name val="한컴산뜻돋움"/>
      <family val="3"/>
      <charset val="129"/>
    </font>
    <font>
      <sz val="14"/>
      <color rgb="FFFF0000"/>
      <name val="맑은 고딕"/>
      <family val="3"/>
      <charset val="129"/>
      <scheme val="minor"/>
    </font>
    <font>
      <b/>
      <sz val="14"/>
      <color rgb="FFFF0000"/>
      <name val="한컴산뜻돋움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darkUp">
        <fgColor theme="1" tint="0.34998626667073579"/>
        <bgColor theme="0" tint="-0.249977111117893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AB0C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lightUp">
        <bgColor theme="2" tint="-9.9978637043366805E-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/>
      <right style="thin">
        <color theme="2"/>
      </right>
      <top style="thin">
        <color theme="2"/>
      </top>
      <bottom style="medium">
        <color indexed="64"/>
      </bottom>
      <diagonal/>
    </border>
    <border>
      <left/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2"/>
      </left>
      <right style="thin">
        <color theme="2"/>
      </right>
      <top style="medium">
        <color indexed="64"/>
      </top>
      <bottom/>
      <diagonal/>
    </border>
    <border>
      <left style="thin">
        <color theme="2"/>
      </left>
      <right style="thin">
        <color theme="2"/>
      </right>
      <top/>
      <bottom style="medium">
        <color indexed="6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13" fillId="0" borderId="0"/>
    <xf numFmtId="0" fontId="1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6" fillId="0" borderId="0"/>
    <xf numFmtId="0" fontId="37" fillId="0" borderId="0"/>
    <xf numFmtId="0" fontId="2" fillId="19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563">
    <xf numFmtId="0" fontId="0" fillId="0" borderId="0" xfId="0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5" fillId="0" borderId="11" xfId="0" applyFont="1" applyBorder="1">
      <alignment vertical="center"/>
    </xf>
    <xf numFmtId="0" fontId="0" fillId="0" borderId="0" xfId="0">
      <alignment vertical="center"/>
    </xf>
    <xf numFmtId="0" fontId="19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8" fillId="3" borderId="29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10" fillId="10" borderId="6" xfId="0" applyFont="1" applyFill="1" applyBorder="1" applyAlignment="1">
      <alignment horizontal="center" vertical="center"/>
    </xf>
    <xf numFmtId="0" fontId="0" fillId="0" borderId="31" xfId="0" applyBorder="1">
      <alignment vertical="center"/>
    </xf>
    <xf numFmtId="0" fontId="18" fillId="0" borderId="32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22" fillId="0" borderId="35" xfId="0" applyFont="1" applyFill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/>
    </xf>
    <xf numFmtId="0" fontId="0" fillId="0" borderId="37" xfId="0" applyBorder="1">
      <alignment vertical="center"/>
    </xf>
    <xf numFmtId="0" fontId="9" fillId="0" borderId="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/>
    </xf>
    <xf numFmtId="0" fontId="26" fillId="0" borderId="39" xfId="0" applyFont="1" applyFill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10" fillId="0" borderId="5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0" fillId="0" borderId="3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10" fillId="3" borderId="46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176" fontId="3" fillId="0" borderId="0" xfId="4" applyNumberFormat="1">
      <alignment vertical="center"/>
    </xf>
    <xf numFmtId="176" fontId="8" fillId="0" borderId="0" xfId="4" applyNumberFormat="1" applyFont="1" applyFill="1" applyAlignment="1">
      <alignment horizontal="center" vertical="center"/>
    </xf>
    <xf numFmtId="176" fontId="8" fillId="0" borderId="0" xfId="4" applyNumberFormat="1" applyFont="1" applyAlignment="1">
      <alignment horizontal="center" vertical="center"/>
    </xf>
    <xf numFmtId="176" fontId="9" fillId="0" borderId="1" xfId="4" applyNumberFormat="1" applyFont="1" applyFill="1" applyBorder="1" applyAlignment="1">
      <alignment horizontal="center" vertical="center"/>
    </xf>
    <xf numFmtId="176" fontId="9" fillId="0" borderId="2" xfId="4" applyNumberFormat="1" applyFont="1" applyFill="1" applyBorder="1" applyAlignment="1">
      <alignment horizontal="center" vertical="center"/>
    </xf>
    <xf numFmtId="176" fontId="9" fillId="0" borderId="2" xfId="4" applyNumberFormat="1" applyFont="1" applyBorder="1" applyAlignment="1">
      <alignment horizontal="center" vertical="center"/>
    </xf>
    <xf numFmtId="176" fontId="9" fillId="0" borderId="50" xfId="4" applyNumberFormat="1" applyFont="1" applyFill="1" applyBorder="1" applyAlignment="1">
      <alignment vertical="center"/>
    </xf>
    <xf numFmtId="176" fontId="9" fillId="0" borderId="3" xfId="4" applyNumberFormat="1" applyFont="1" applyBorder="1" applyAlignment="1">
      <alignment horizontal="center" vertical="center"/>
    </xf>
    <xf numFmtId="176" fontId="9" fillId="0" borderId="4" xfId="4" applyNumberFormat="1" applyFont="1" applyFill="1" applyBorder="1" applyAlignment="1">
      <alignment horizontal="center" vertical="center"/>
    </xf>
    <xf numFmtId="176" fontId="9" fillId="0" borderId="0" xfId="4" applyNumberFormat="1" applyFont="1" applyFill="1" applyBorder="1" applyAlignment="1">
      <alignment horizontal="center" vertical="center"/>
    </xf>
    <xf numFmtId="176" fontId="9" fillId="0" borderId="23" xfId="4" applyNumberFormat="1" applyFont="1" applyFill="1" applyBorder="1" applyAlignment="1">
      <alignment horizontal="center" vertical="center"/>
    </xf>
    <xf numFmtId="176" fontId="9" fillId="0" borderId="0" xfId="4" applyNumberFormat="1" applyFont="1" applyBorder="1" applyAlignment="1">
      <alignment horizontal="center" vertical="center"/>
    </xf>
    <xf numFmtId="176" fontId="9" fillId="0" borderId="51" xfId="4" applyNumberFormat="1" applyFont="1" applyFill="1" applyBorder="1" applyAlignment="1">
      <alignment vertical="center"/>
    </xf>
    <xf numFmtId="176" fontId="9" fillId="0" borderId="5" xfId="4" applyNumberFormat="1" applyFont="1" applyBorder="1" applyAlignment="1">
      <alignment horizontal="center" vertical="center"/>
    </xf>
    <xf numFmtId="176" fontId="10" fillId="14" borderId="6" xfId="4" applyNumberFormat="1" applyFont="1" applyFill="1" applyBorder="1" applyAlignment="1">
      <alignment horizontal="center" vertical="center"/>
    </xf>
    <xf numFmtId="176" fontId="10" fillId="0" borderId="0" xfId="4" applyNumberFormat="1" applyFont="1" applyBorder="1" applyAlignment="1">
      <alignment horizontal="center" vertical="center"/>
    </xf>
    <xf numFmtId="176" fontId="8" fillId="3" borderId="24" xfId="4" applyNumberFormat="1" applyFont="1" applyFill="1" applyBorder="1" applyAlignment="1">
      <alignment vertical="center" wrapText="1"/>
    </xf>
    <xf numFmtId="176" fontId="10" fillId="12" borderId="6" xfId="4" applyNumberFormat="1" applyFont="1" applyFill="1" applyBorder="1" applyAlignment="1">
      <alignment horizontal="center" vertical="center"/>
    </xf>
    <xf numFmtId="0" fontId="3" fillId="0" borderId="0" xfId="4">
      <alignment vertical="center"/>
    </xf>
    <xf numFmtId="176" fontId="8" fillId="0" borderId="7" xfId="4" applyNumberFormat="1" applyFont="1" applyFill="1" applyBorder="1" applyAlignment="1">
      <alignment horizontal="center" vertical="center" wrapText="1"/>
    </xf>
    <xf numFmtId="176" fontId="8" fillId="3" borderId="52" xfId="4" applyNumberFormat="1" applyFont="1" applyFill="1" applyBorder="1" applyAlignment="1">
      <alignment vertical="center" wrapText="1"/>
    </xf>
    <xf numFmtId="176" fontId="8" fillId="3" borderId="23" xfId="4" applyNumberFormat="1" applyFont="1" applyFill="1" applyBorder="1" applyAlignment="1">
      <alignment vertical="center" wrapText="1"/>
    </xf>
    <xf numFmtId="176" fontId="9" fillId="0" borderId="53" xfId="4" applyNumberFormat="1" applyFont="1" applyFill="1" applyBorder="1" applyAlignment="1">
      <alignment vertical="center"/>
    </xf>
    <xf numFmtId="0" fontId="16" fillId="0" borderId="0" xfId="4" applyNumberFormat="1" applyFont="1" applyBorder="1" applyAlignment="1">
      <alignment horizontal="center" vertical="center"/>
    </xf>
    <xf numFmtId="0" fontId="16" fillId="0" borderId="5" xfId="4" applyNumberFormat="1" applyFont="1" applyBorder="1" applyAlignment="1">
      <alignment horizontal="center" vertical="center"/>
    </xf>
    <xf numFmtId="176" fontId="9" fillId="0" borderId="54" xfId="4" applyNumberFormat="1" applyFont="1" applyFill="1" applyBorder="1" applyAlignment="1">
      <alignment vertical="center"/>
    </xf>
    <xf numFmtId="176" fontId="10" fillId="0" borderId="24" xfId="4" applyNumberFormat="1" applyFont="1" applyFill="1" applyBorder="1" applyAlignment="1">
      <alignment horizontal="center" vertical="center"/>
    </xf>
    <xf numFmtId="0" fontId="30" fillId="0" borderId="0" xfId="4" applyNumberFormat="1" applyFont="1" applyFill="1" applyBorder="1" applyAlignment="1">
      <alignment horizontal="center" vertical="center"/>
    </xf>
    <xf numFmtId="0" fontId="30" fillId="0" borderId="0" xfId="4" applyNumberFormat="1" applyFont="1" applyBorder="1" applyAlignment="1">
      <alignment horizontal="center" vertical="center"/>
    </xf>
    <xf numFmtId="176" fontId="9" fillId="0" borderId="24" xfId="4" applyNumberFormat="1" applyFont="1" applyFill="1" applyBorder="1" applyAlignment="1">
      <alignment horizontal="center" vertical="center"/>
    </xf>
    <xf numFmtId="0" fontId="8" fillId="0" borderId="0" xfId="4" applyNumberFormat="1" applyFont="1" applyFill="1" applyBorder="1" applyAlignment="1">
      <alignment horizontal="center" vertical="center" wrapText="1"/>
    </xf>
    <xf numFmtId="176" fontId="8" fillId="0" borderId="4" xfId="4" applyNumberFormat="1" applyFont="1" applyFill="1" applyBorder="1" applyAlignment="1">
      <alignment horizontal="center" vertical="center" wrapText="1"/>
    </xf>
    <xf numFmtId="176" fontId="8" fillId="0" borderId="0" xfId="4" applyNumberFormat="1" applyFont="1" applyFill="1" applyBorder="1" applyAlignment="1">
      <alignment horizontal="center" vertical="center" wrapText="1"/>
    </xf>
    <xf numFmtId="176" fontId="9" fillId="0" borderId="55" xfId="4" applyNumberFormat="1" applyFont="1" applyFill="1" applyBorder="1" applyAlignment="1">
      <alignment vertical="center"/>
    </xf>
    <xf numFmtId="176" fontId="9" fillId="0" borderId="8" xfId="4" applyNumberFormat="1" applyFont="1" applyFill="1" applyBorder="1" applyAlignment="1">
      <alignment horizontal="center" vertical="center"/>
    </xf>
    <xf numFmtId="176" fontId="9" fillId="0" borderId="9" xfId="4" applyNumberFormat="1" applyFont="1" applyFill="1" applyBorder="1" applyAlignment="1">
      <alignment horizontal="center" vertical="center"/>
    </xf>
    <xf numFmtId="176" fontId="9" fillId="0" borderId="9" xfId="4" applyNumberFormat="1" applyFont="1" applyBorder="1" applyAlignment="1">
      <alignment horizontal="center" vertical="center"/>
    </xf>
    <xf numFmtId="176" fontId="9" fillId="0" borderId="56" xfId="4" applyNumberFormat="1" applyFont="1" applyFill="1" applyBorder="1" applyAlignment="1">
      <alignment vertical="center"/>
    </xf>
    <xf numFmtId="176" fontId="9" fillId="0" borderId="10" xfId="4" applyNumberFormat="1" applyFont="1" applyBorder="1" applyAlignment="1">
      <alignment horizontal="center" vertical="center"/>
    </xf>
    <xf numFmtId="176" fontId="10" fillId="2" borderId="6" xfId="4" applyNumberFormat="1" applyFont="1" applyFill="1" applyBorder="1" applyAlignment="1">
      <alignment horizontal="center" vertical="center"/>
    </xf>
    <xf numFmtId="176" fontId="10" fillId="0" borderId="0" xfId="4" applyNumberFormat="1" applyFont="1" applyAlignment="1">
      <alignment horizontal="center" vertical="center"/>
    </xf>
    <xf numFmtId="176" fontId="9" fillId="0" borderId="0" xfId="4" applyNumberFormat="1" applyFont="1" applyAlignment="1">
      <alignment horizontal="center" vertical="center"/>
    </xf>
    <xf numFmtId="176" fontId="9" fillId="0" borderId="4" xfId="4" applyNumberFormat="1" applyFont="1" applyFill="1" applyBorder="1" applyAlignment="1">
      <alignment horizontal="center" vertical="center" wrapText="1"/>
    </xf>
    <xf numFmtId="176" fontId="9" fillId="0" borderId="0" xfId="4" applyNumberFormat="1" applyFont="1" applyFill="1" applyBorder="1" applyAlignment="1">
      <alignment horizontal="center" vertical="center" wrapText="1"/>
    </xf>
    <xf numFmtId="176" fontId="10" fillId="7" borderId="6" xfId="4" applyNumberFormat="1" applyFont="1" applyFill="1" applyBorder="1" applyAlignment="1">
      <alignment horizontal="center" vertical="center"/>
    </xf>
    <xf numFmtId="176" fontId="16" fillId="0" borderId="0" xfId="4" applyNumberFormat="1" applyFont="1" applyFill="1" applyBorder="1" applyAlignment="1">
      <alignment horizontal="center" vertical="center"/>
    </xf>
    <xf numFmtId="176" fontId="16" fillId="0" borderId="5" xfId="4" applyNumberFormat="1" applyFont="1" applyFill="1" applyBorder="1" applyAlignment="1">
      <alignment horizontal="center" vertical="center"/>
    </xf>
    <xf numFmtId="176" fontId="10" fillId="0" borderId="0" xfId="4" applyNumberFormat="1" applyFont="1" applyFill="1" applyBorder="1" applyAlignment="1">
      <alignment horizontal="center" vertical="center"/>
    </xf>
    <xf numFmtId="176" fontId="10" fillId="0" borderId="5" xfId="4" applyNumberFormat="1" applyFont="1" applyBorder="1" applyAlignment="1">
      <alignment horizontal="center" vertical="center"/>
    </xf>
    <xf numFmtId="176" fontId="8" fillId="0" borderId="5" xfId="4" applyNumberFormat="1" applyFont="1" applyBorder="1" applyAlignment="1">
      <alignment horizontal="center" vertical="center"/>
    </xf>
    <xf numFmtId="176" fontId="8" fillId="0" borderId="4" xfId="4" applyNumberFormat="1" applyFont="1" applyFill="1" applyBorder="1" applyAlignment="1">
      <alignment horizontal="center" vertical="center"/>
    </xf>
    <xf numFmtId="176" fontId="8" fillId="0" borderId="0" xfId="4" applyNumberFormat="1" applyFont="1" applyFill="1" applyBorder="1" applyAlignment="1">
      <alignment horizontal="center" vertical="center"/>
    </xf>
    <xf numFmtId="176" fontId="8" fillId="0" borderId="5" xfId="4" applyNumberFormat="1" applyFont="1" applyFill="1" applyBorder="1" applyAlignment="1">
      <alignment horizontal="center" vertical="center"/>
    </xf>
    <xf numFmtId="176" fontId="8" fillId="0" borderId="0" xfId="4" applyNumberFormat="1" applyFont="1" applyBorder="1" applyAlignment="1">
      <alignment horizontal="center" vertical="center"/>
    </xf>
    <xf numFmtId="176" fontId="8" fillId="0" borderId="4" xfId="4" applyNumberFormat="1" applyFont="1" applyBorder="1" applyAlignment="1">
      <alignment horizontal="center" vertical="center"/>
    </xf>
    <xf numFmtId="176" fontId="28" fillId="0" borderId="0" xfId="4" applyNumberFormat="1" applyFont="1" applyFill="1" applyBorder="1" applyAlignment="1">
      <alignment horizontal="center" vertical="center"/>
    </xf>
    <xf numFmtId="176" fontId="28" fillId="0" borderId="5" xfId="4" applyNumberFormat="1" applyFont="1" applyFill="1" applyBorder="1" applyAlignment="1">
      <alignment horizontal="center" vertical="center"/>
    </xf>
    <xf numFmtId="176" fontId="10" fillId="0" borderId="0" xfId="4" applyNumberFormat="1" applyFont="1" applyFill="1" applyAlignment="1">
      <alignment horizontal="center" vertical="center"/>
    </xf>
    <xf numFmtId="176" fontId="31" fillId="0" borderId="0" xfId="4" applyNumberFormat="1" applyFont="1" applyFill="1" applyAlignment="1">
      <alignment horizontal="center" vertical="center"/>
    </xf>
    <xf numFmtId="176" fontId="9" fillId="0" borderId="5" xfId="4" applyNumberFormat="1" applyFont="1" applyFill="1" applyBorder="1" applyAlignment="1">
      <alignment horizontal="center" vertical="center"/>
    </xf>
    <xf numFmtId="176" fontId="9" fillId="0" borderId="0" xfId="4" applyNumberFormat="1" applyFont="1" applyFill="1" applyAlignment="1">
      <alignment horizontal="center" vertical="center"/>
    </xf>
    <xf numFmtId="176" fontId="9" fillId="0" borderId="4" xfId="4" applyNumberFormat="1" applyFont="1" applyBorder="1" applyAlignment="1">
      <alignment horizontal="center" vertical="center"/>
    </xf>
    <xf numFmtId="176" fontId="10" fillId="0" borderId="4" xfId="4" applyNumberFormat="1" applyFont="1" applyFill="1" applyBorder="1" applyAlignment="1">
      <alignment horizontal="center" vertical="center"/>
    </xf>
    <xf numFmtId="176" fontId="8" fillId="0" borderId="37" xfId="4" applyNumberFormat="1" applyFont="1" applyFill="1" applyBorder="1" applyAlignment="1">
      <alignment horizontal="center" vertical="center" wrapText="1"/>
    </xf>
    <xf numFmtId="176" fontId="10" fillId="0" borderId="53" xfId="4" applyNumberFormat="1" applyFont="1" applyBorder="1" applyAlignment="1">
      <alignment horizontal="center" vertical="center"/>
    </xf>
    <xf numFmtId="176" fontId="10" fillId="0" borderId="57" xfId="4" applyNumberFormat="1" applyFont="1" applyBorder="1" applyAlignment="1">
      <alignment horizontal="center" vertical="center"/>
    </xf>
    <xf numFmtId="176" fontId="8" fillId="0" borderId="45" xfId="4" applyNumberFormat="1" applyFont="1" applyFill="1" applyBorder="1" applyAlignment="1">
      <alignment horizontal="center" vertical="center" wrapText="1"/>
    </xf>
    <xf numFmtId="176" fontId="10" fillId="0" borderId="1" xfId="4" applyNumberFormat="1" applyFont="1" applyBorder="1" applyAlignment="1">
      <alignment horizontal="center" vertical="center"/>
    </xf>
    <xf numFmtId="176" fontId="10" fillId="0" borderId="2" xfId="4" applyNumberFormat="1" applyFont="1" applyBorder="1" applyAlignment="1">
      <alignment horizontal="center" vertical="center"/>
    </xf>
    <xf numFmtId="176" fontId="10" fillId="0" borderId="3" xfId="4" applyNumberFormat="1" applyFont="1" applyBorder="1" applyAlignment="1">
      <alignment horizontal="center" vertical="center"/>
    </xf>
    <xf numFmtId="176" fontId="10" fillId="0" borderId="4" xfId="4" applyNumberFormat="1" applyFont="1" applyBorder="1" applyAlignment="1">
      <alignment horizontal="center" vertical="center"/>
    </xf>
    <xf numFmtId="0" fontId="3" fillId="0" borderId="0" xfId="4" applyBorder="1">
      <alignment vertical="center"/>
    </xf>
    <xf numFmtId="176" fontId="8" fillId="0" borderId="8" xfId="4" applyNumberFormat="1" applyFont="1" applyBorder="1" applyAlignment="1">
      <alignment horizontal="center" vertical="center"/>
    </xf>
    <xf numFmtId="176" fontId="28" fillId="0" borderId="9" xfId="4" applyNumberFormat="1" applyFont="1" applyBorder="1" applyAlignment="1">
      <alignment horizontal="center" vertical="center"/>
    </xf>
    <xf numFmtId="0" fontId="3" fillId="0" borderId="9" xfId="4" applyBorder="1">
      <alignment vertical="center"/>
    </xf>
    <xf numFmtId="176" fontId="16" fillId="0" borderId="0" xfId="4" applyNumberFormat="1" applyFont="1" applyBorder="1" applyAlignment="1">
      <alignment horizontal="center" vertical="center"/>
    </xf>
    <xf numFmtId="176" fontId="3" fillId="0" borderId="0" xfId="4" applyNumberFormat="1" applyBorder="1">
      <alignment vertical="center"/>
    </xf>
    <xf numFmtId="176" fontId="32" fillId="0" borderId="9" xfId="4" applyNumberFormat="1" applyFont="1" applyFill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10" borderId="48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11" borderId="33" xfId="0" applyFont="1" applyFill="1" applyBorder="1" applyAlignment="1">
      <alignment horizontal="center" vertical="center"/>
    </xf>
    <xf numFmtId="0" fontId="10" fillId="10" borderId="33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176" fontId="10" fillId="7" borderId="12" xfId="4" applyNumberFormat="1" applyFont="1" applyFill="1" applyBorder="1" applyAlignment="1">
      <alignment horizontal="center" vertical="center"/>
    </xf>
    <xf numFmtId="0" fontId="18" fillId="16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18" fillId="4" borderId="60" xfId="0" applyNumberFormat="1" applyFont="1" applyFill="1" applyBorder="1" applyAlignment="1">
      <alignment vertical="center" wrapText="1"/>
    </xf>
    <xf numFmtId="49" fontId="18" fillId="4" borderId="61" xfId="0" applyNumberFormat="1" applyFont="1" applyFill="1" applyBorder="1" applyAlignment="1">
      <alignment vertical="center" wrapText="1"/>
    </xf>
    <xf numFmtId="49" fontId="18" fillId="4" borderId="12" xfId="0" applyNumberFormat="1" applyFont="1" applyFill="1" applyBorder="1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7" borderId="39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6" fillId="0" borderId="12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49" fontId="18" fillId="0" borderId="12" xfId="0" applyNumberFormat="1" applyFont="1" applyFill="1" applyBorder="1" applyAlignment="1">
      <alignment horizontal="center" vertical="center" wrapText="1"/>
    </xf>
    <xf numFmtId="0" fontId="18" fillId="0" borderId="12" xfId="0" applyNumberFormat="1" applyFont="1" applyFill="1" applyBorder="1" applyAlignment="1">
      <alignment horizontal="center" vertical="center" wrapText="1"/>
    </xf>
    <xf numFmtId="0" fontId="33" fillId="0" borderId="12" xfId="0" applyFont="1" applyFill="1" applyBorder="1" applyAlignment="1">
      <alignment horizontal="center"/>
    </xf>
    <xf numFmtId="0" fontId="0" fillId="0" borderId="12" xfId="0" applyNumberFormat="1" applyFill="1" applyBorder="1" applyAlignment="1">
      <alignment horizontal="center" vertical="center"/>
    </xf>
    <xf numFmtId="0" fontId="19" fillId="0" borderId="12" xfId="1" applyFont="1" applyFill="1" applyBorder="1" applyAlignment="1">
      <alignment horizontal="center"/>
    </xf>
    <xf numFmtId="0" fontId="18" fillId="0" borderId="0" xfId="0" applyFont="1" applyBorder="1">
      <alignment vertical="center"/>
    </xf>
    <xf numFmtId="0" fontId="18" fillId="0" borderId="0" xfId="0" applyFont="1">
      <alignment vertical="center"/>
    </xf>
    <xf numFmtId="0" fontId="40" fillId="0" borderId="0" xfId="0" applyFont="1" applyBorder="1">
      <alignment vertical="center"/>
    </xf>
    <xf numFmtId="0" fontId="41" fillId="2" borderId="42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5" fillId="0" borderId="63" xfId="0" applyFont="1" applyBorder="1" applyAlignment="1">
      <alignment horizontal="center" vertical="center"/>
    </xf>
    <xf numFmtId="0" fontId="45" fillId="0" borderId="64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41" fillId="7" borderId="18" xfId="0" applyFont="1" applyFill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41" fillId="7" borderId="33" xfId="0" applyFont="1" applyFill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41" fillId="20" borderId="33" xfId="0" applyFont="1" applyFill="1" applyBorder="1" applyAlignment="1">
      <alignment horizontal="center" vertical="center"/>
    </xf>
    <xf numFmtId="0" fontId="41" fillId="17" borderId="33" xfId="0" applyFont="1" applyFill="1" applyBorder="1" applyAlignment="1">
      <alignment horizontal="center" vertical="center"/>
    </xf>
    <xf numFmtId="0" fontId="41" fillId="11" borderId="33" xfId="0" applyFont="1" applyFill="1" applyBorder="1" applyAlignment="1">
      <alignment horizontal="center" vertical="center"/>
    </xf>
    <xf numFmtId="0" fontId="41" fillId="11" borderId="34" xfId="0" applyFont="1" applyFill="1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41" fillId="7" borderId="66" xfId="0" applyFont="1" applyFill="1" applyBorder="1" applyAlignment="1">
      <alignment horizontal="center" vertical="center"/>
    </xf>
    <xf numFmtId="0" fontId="42" fillId="0" borderId="65" xfId="0" applyFont="1" applyBorder="1" applyAlignment="1">
      <alignment horizontal="center" vertical="center"/>
    </xf>
    <xf numFmtId="0" fontId="42" fillId="0" borderId="66" xfId="0" applyFont="1" applyBorder="1" applyAlignment="1">
      <alignment horizontal="center" vertical="center"/>
    </xf>
    <xf numFmtId="0" fontId="41" fillId="7" borderId="12" xfId="0" applyFont="1" applyFill="1" applyBorder="1" applyAlignment="1">
      <alignment horizontal="center" vertical="center"/>
    </xf>
    <xf numFmtId="0" fontId="42" fillId="0" borderId="68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5" fillId="0" borderId="68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176" fontId="40" fillId="0" borderId="0" xfId="8" applyNumberFormat="1" applyFont="1" applyFill="1" applyBorder="1" applyAlignment="1">
      <alignment horizontal="center" vertical="center" wrapText="1"/>
    </xf>
    <xf numFmtId="176" fontId="41" fillId="0" borderId="5" xfId="0" applyNumberFormat="1" applyFont="1" applyFill="1" applyBorder="1" applyAlignment="1">
      <alignment horizontal="center" vertical="center"/>
    </xf>
    <xf numFmtId="176" fontId="41" fillId="0" borderId="0" xfId="0" applyNumberFormat="1" applyFont="1" applyFill="1" applyBorder="1" applyAlignment="1">
      <alignment horizontal="center" vertical="center"/>
    </xf>
    <xf numFmtId="176" fontId="40" fillId="0" borderId="0" xfId="5" applyNumberFormat="1" applyFont="1" applyFill="1" applyBorder="1" applyAlignment="1">
      <alignment horizontal="center" vertical="center" wrapText="1"/>
    </xf>
    <xf numFmtId="176" fontId="41" fillId="0" borderId="70" xfId="0" applyNumberFormat="1" applyFont="1" applyFill="1" applyBorder="1" applyAlignment="1">
      <alignment horizontal="center" vertical="center"/>
    </xf>
    <xf numFmtId="176" fontId="40" fillId="0" borderId="71" xfId="8" applyNumberFormat="1" applyFont="1" applyFill="1" applyBorder="1" applyAlignment="1">
      <alignment horizontal="center" vertical="center" wrapText="1"/>
    </xf>
    <xf numFmtId="176" fontId="40" fillId="0" borderId="71" xfId="0" applyNumberFormat="1" applyFont="1" applyFill="1" applyBorder="1" applyAlignment="1">
      <alignment horizontal="center" vertical="center" wrapText="1"/>
    </xf>
    <xf numFmtId="0" fontId="40" fillId="0" borderId="38" xfId="0" applyFont="1" applyBorder="1">
      <alignment vertical="center"/>
    </xf>
    <xf numFmtId="0" fontId="15" fillId="0" borderId="38" xfId="0" applyFont="1" applyBorder="1">
      <alignment vertical="center"/>
    </xf>
    <xf numFmtId="176" fontId="41" fillId="0" borderId="63" xfId="0" applyNumberFormat="1" applyFont="1" applyFill="1" applyBorder="1" applyAlignment="1">
      <alignment horizontal="center" vertical="center"/>
    </xf>
    <xf numFmtId="176" fontId="41" fillId="0" borderId="71" xfId="0" applyNumberFormat="1" applyFont="1" applyFill="1" applyBorder="1" applyAlignment="1">
      <alignment horizontal="center" vertical="center"/>
    </xf>
    <xf numFmtId="176" fontId="40" fillId="0" borderId="70" xfId="0" applyNumberFormat="1" applyFont="1" applyFill="1" applyBorder="1" applyAlignment="1">
      <alignment horizontal="center" vertical="center" wrapText="1"/>
    </xf>
    <xf numFmtId="0" fontId="18" fillId="0" borderId="9" xfId="0" applyFont="1" applyBorder="1">
      <alignment vertical="center"/>
    </xf>
    <xf numFmtId="176" fontId="41" fillId="0" borderId="9" xfId="0" applyNumberFormat="1" applyFont="1" applyFill="1" applyBorder="1" applyAlignment="1">
      <alignment horizontal="center" vertical="center"/>
    </xf>
    <xf numFmtId="176" fontId="41" fillId="0" borderId="13" xfId="0" applyNumberFormat="1" applyFont="1" applyFill="1" applyBorder="1" applyAlignment="1">
      <alignment horizontal="center" vertical="center"/>
    </xf>
    <xf numFmtId="176" fontId="41" fillId="0" borderId="14" xfId="0" applyNumberFormat="1" applyFont="1" applyFill="1" applyBorder="1" applyAlignment="1">
      <alignment horizontal="center" vertical="center"/>
    </xf>
    <xf numFmtId="176" fontId="40" fillId="0" borderId="35" xfId="0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47" fillId="0" borderId="0" xfId="0" applyFont="1" applyFill="1" applyBorder="1" applyAlignment="1">
      <alignment horizontal="center" vertical="center"/>
    </xf>
    <xf numFmtId="0" fontId="47" fillId="5" borderId="20" xfId="0" applyFont="1" applyFill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29" fillId="0" borderId="0" xfId="0" applyFont="1" applyBorder="1">
      <alignment vertical="center"/>
    </xf>
    <xf numFmtId="0" fontId="0" fillId="0" borderId="9" xfId="0" applyFont="1" applyBorder="1">
      <alignment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29" fillId="0" borderId="0" xfId="0" applyFont="1">
      <alignment vertical="center"/>
    </xf>
    <xf numFmtId="0" fontId="50" fillId="0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horizontal="center" vertical="center"/>
    </xf>
    <xf numFmtId="0" fontId="47" fillId="3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47" fillId="5" borderId="49" xfId="0" applyFont="1" applyFill="1" applyBorder="1" applyAlignment="1">
      <alignment horizontal="center" vertical="center"/>
    </xf>
    <xf numFmtId="0" fontId="47" fillId="0" borderId="4" xfId="0" applyFont="1" applyFill="1" applyBorder="1" applyAlignment="1">
      <alignment horizontal="center" vertical="center"/>
    </xf>
    <xf numFmtId="0" fontId="47" fillId="3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46" fillId="12" borderId="6" xfId="0" applyFont="1" applyFill="1" applyBorder="1" applyAlignment="1">
      <alignment horizontal="center" vertical="center"/>
    </xf>
    <xf numFmtId="0" fontId="51" fillId="8" borderId="62" xfId="0" applyFont="1" applyFill="1" applyBorder="1" applyAlignment="1">
      <alignment horizontal="center" vertical="center"/>
    </xf>
    <xf numFmtId="0" fontId="51" fillId="8" borderId="6" xfId="0" applyFont="1" applyFill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46" fillId="12" borderId="42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50" fillId="0" borderId="8" xfId="0" applyFont="1" applyFill="1" applyBorder="1" applyAlignment="1">
      <alignment horizontal="center" vertical="center" wrapText="1"/>
    </xf>
    <xf numFmtId="0" fontId="47" fillId="0" borderId="9" xfId="0" applyFont="1" applyFill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51" fillId="2" borderId="42" xfId="0" applyFont="1" applyFill="1" applyBorder="1" applyAlignment="1">
      <alignment horizontal="center" vertical="center"/>
    </xf>
    <xf numFmtId="0" fontId="51" fillId="2" borderId="6" xfId="0" applyFont="1" applyFill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51" fillId="2" borderId="13" xfId="0" applyFont="1" applyFill="1" applyBorder="1" applyAlignment="1">
      <alignment horizontal="center" vertical="center"/>
    </xf>
    <xf numFmtId="0" fontId="51" fillId="2" borderId="44" xfId="0" applyFont="1" applyFill="1" applyBorder="1" applyAlignment="1">
      <alignment horizontal="center" vertical="center"/>
    </xf>
    <xf numFmtId="0" fontId="51" fillId="10" borderId="47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/>
    </xf>
    <xf numFmtId="0" fontId="51" fillId="0" borderId="4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51" fillId="10" borderId="48" xfId="0" applyFont="1" applyFill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51" fillId="10" borderId="6" xfId="0" applyFont="1" applyFill="1" applyBorder="1" applyAlignment="1">
      <alignment horizontal="center" vertical="center"/>
    </xf>
    <xf numFmtId="0" fontId="51" fillId="10" borderId="42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176" fontId="51" fillId="0" borderId="0" xfId="0" applyNumberFormat="1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41" fillId="0" borderId="0" xfId="0" applyFont="1" applyFill="1" applyBorder="1" applyAlignment="1">
      <alignment horizontal="center" vertical="center"/>
    </xf>
    <xf numFmtId="0" fontId="41" fillId="5" borderId="20" xfId="0" applyFont="1" applyFill="1" applyBorder="1" applyAlignment="1">
      <alignment horizontal="center" vertical="center"/>
    </xf>
    <xf numFmtId="176" fontId="53" fillId="0" borderId="47" xfId="8" applyNumberFormat="1" applyFont="1" applyFill="1" applyBorder="1" applyAlignment="1">
      <alignment horizontal="center" vertical="center" wrapText="1"/>
    </xf>
    <xf numFmtId="0" fontId="50" fillId="5" borderId="20" xfId="0" applyFont="1" applyFill="1" applyBorder="1" applyAlignment="1">
      <alignment horizontal="center" vertical="center"/>
    </xf>
    <xf numFmtId="0" fontId="53" fillId="0" borderId="0" xfId="0" applyFont="1" applyBorder="1">
      <alignment vertical="center"/>
    </xf>
    <xf numFmtId="0" fontId="53" fillId="0" borderId="38" xfId="0" applyFont="1" applyBorder="1">
      <alignment vertical="center"/>
    </xf>
    <xf numFmtId="0" fontId="50" fillId="0" borderId="8" xfId="0" applyFont="1" applyFill="1" applyBorder="1" applyAlignment="1">
      <alignment horizontal="center" vertical="center"/>
    </xf>
    <xf numFmtId="0" fontId="50" fillId="0" borderId="7" xfId="0" applyFont="1" applyFill="1" applyBorder="1" applyAlignment="1">
      <alignment horizontal="center" vertical="center"/>
    </xf>
    <xf numFmtId="0" fontId="53" fillId="0" borderId="9" xfId="0" applyFont="1" applyBorder="1">
      <alignment vertical="center"/>
    </xf>
    <xf numFmtId="176" fontId="53" fillId="0" borderId="45" xfId="0" applyNumberFormat="1" applyFont="1" applyFill="1" applyBorder="1" applyAlignment="1">
      <alignment horizontal="center" vertical="center" wrapText="1"/>
    </xf>
    <xf numFmtId="0" fontId="53" fillId="0" borderId="76" xfId="0" applyFont="1" applyBorder="1">
      <alignment vertical="center"/>
    </xf>
    <xf numFmtId="176" fontId="40" fillId="0" borderId="0" xfId="0" applyNumberFormat="1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wrapText="1"/>
    </xf>
    <xf numFmtId="0" fontId="47" fillId="5" borderId="0" xfId="0" applyFont="1" applyFill="1" applyBorder="1" applyAlignment="1">
      <alignment horizontal="center" vertical="center"/>
    </xf>
    <xf numFmtId="0" fontId="46" fillId="5" borderId="0" xfId="0" applyFont="1" applyFill="1" applyBorder="1" applyAlignment="1">
      <alignment horizontal="center" vertical="center"/>
    </xf>
    <xf numFmtId="0" fontId="50" fillId="5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40" fillId="0" borderId="37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76" fontId="53" fillId="0" borderId="75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51" fillId="0" borderId="0" xfId="0" applyFont="1" applyFill="1" applyBorder="1" applyAlignment="1">
      <alignment vertical="center"/>
    </xf>
    <xf numFmtId="0" fontId="51" fillId="0" borderId="4" xfId="0" applyFont="1" applyFill="1" applyBorder="1" applyAlignment="1">
      <alignment vertical="center"/>
    </xf>
    <xf numFmtId="176" fontId="53" fillId="0" borderId="74" xfId="0" applyNumberFormat="1" applyFont="1" applyBorder="1" applyAlignment="1">
      <alignment horizontal="center" vertical="center"/>
    </xf>
    <xf numFmtId="176" fontId="53" fillId="0" borderId="0" xfId="0" applyNumberFormat="1" applyFont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46" fillId="3" borderId="0" xfId="0" applyFont="1" applyFill="1" applyBorder="1" applyAlignment="1">
      <alignment horizontal="center" vertical="center"/>
    </xf>
    <xf numFmtId="0" fontId="41" fillId="3" borderId="0" xfId="0" applyFont="1" applyFill="1" applyBorder="1" applyAlignment="1">
      <alignment horizontal="center" vertical="center"/>
    </xf>
    <xf numFmtId="176" fontId="40" fillId="3" borderId="0" xfId="8" applyNumberFormat="1" applyFont="1" applyFill="1" applyBorder="1" applyAlignment="1">
      <alignment horizontal="center" vertical="center" wrapText="1"/>
    </xf>
    <xf numFmtId="176" fontId="40" fillId="3" borderId="0" xfId="0" applyNumberFormat="1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51" fillId="2" borderId="48" xfId="0" applyFont="1" applyFill="1" applyBorder="1" applyAlignment="1">
      <alignment horizontal="center" vertical="center"/>
    </xf>
    <xf numFmtId="176" fontId="41" fillId="0" borderId="48" xfId="0" applyNumberFormat="1" applyFont="1" applyFill="1" applyBorder="1" applyAlignment="1">
      <alignment horizontal="center" vertical="center"/>
    </xf>
    <xf numFmtId="176" fontId="41" fillId="0" borderId="35" xfId="0" applyNumberFormat="1" applyFont="1" applyFill="1" applyBorder="1" applyAlignment="1">
      <alignment horizontal="center" vertical="center"/>
    </xf>
    <xf numFmtId="176" fontId="41" fillId="0" borderId="1" xfId="0" applyNumberFormat="1" applyFont="1" applyFill="1" applyBorder="1" applyAlignment="1">
      <alignment horizontal="center" vertical="center"/>
    </xf>
    <xf numFmtId="176" fontId="50" fillId="0" borderId="8" xfId="0" applyNumberFormat="1" applyFont="1" applyFill="1" applyBorder="1" applyAlignment="1">
      <alignment horizontal="center" vertical="center"/>
    </xf>
    <xf numFmtId="176" fontId="50" fillId="0" borderId="45" xfId="0" applyNumberFormat="1" applyFont="1" applyFill="1" applyBorder="1" applyAlignment="1">
      <alignment horizontal="center" vertical="center"/>
    </xf>
    <xf numFmtId="0" fontId="18" fillId="0" borderId="4" xfId="0" applyFont="1" applyBorder="1">
      <alignment vertical="center"/>
    </xf>
    <xf numFmtId="176" fontId="50" fillId="0" borderId="7" xfId="0" applyNumberFormat="1" applyFont="1" applyFill="1" applyBorder="1" applyAlignment="1">
      <alignment horizontal="center" vertical="center"/>
    </xf>
    <xf numFmtId="176" fontId="50" fillId="0" borderId="37" xfId="0" applyNumberFormat="1" applyFont="1" applyFill="1" applyBorder="1" applyAlignment="1">
      <alignment horizontal="center" vertical="center"/>
    </xf>
    <xf numFmtId="0" fontId="51" fillId="10" borderId="62" xfId="0" applyFont="1" applyFill="1" applyBorder="1" applyAlignment="1">
      <alignment horizontal="center" vertical="center"/>
    </xf>
    <xf numFmtId="176" fontId="41" fillId="0" borderId="72" xfId="0" applyNumberFormat="1" applyFont="1" applyFill="1" applyBorder="1" applyAlignment="1">
      <alignment horizontal="center" vertical="center"/>
    </xf>
    <xf numFmtId="0" fontId="51" fillId="10" borderId="11" xfId="0" applyFont="1" applyFill="1" applyBorder="1" applyAlignment="1">
      <alignment horizontal="center" vertical="center"/>
    </xf>
    <xf numFmtId="176" fontId="41" fillId="0" borderId="73" xfId="0" applyNumberFormat="1" applyFont="1" applyFill="1" applyBorder="1" applyAlignment="1">
      <alignment horizontal="center" vertical="center"/>
    </xf>
    <xf numFmtId="0" fontId="51" fillId="10" borderId="76" xfId="0" applyFont="1" applyFill="1" applyBorder="1" applyAlignment="1">
      <alignment horizontal="center" vertical="center"/>
    </xf>
    <xf numFmtId="176" fontId="41" fillId="0" borderId="77" xfId="0" applyNumberFormat="1" applyFont="1" applyFill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1" fillId="2" borderId="6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176" fontId="41" fillId="0" borderId="6" xfId="0" applyNumberFormat="1" applyFont="1" applyFill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3" fillId="0" borderId="45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176" fontId="50" fillId="0" borderId="10" xfId="0" applyNumberFormat="1" applyFont="1" applyFill="1" applyBorder="1" applyAlignment="1">
      <alignment horizontal="center" vertical="center"/>
    </xf>
    <xf numFmtId="176" fontId="53" fillId="0" borderId="11" xfId="5" applyNumberFormat="1" applyFont="1" applyFill="1" applyBorder="1" applyAlignment="1">
      <alignment horizontal="center" vertical="center" wrapText="1"/>
    </xf>
    <xf numFmtId="176" fontId="40" fillId="0" borderId="35" xfId="5" applyNumberFormat="1" applyFont="1" applyFill="1" applyBorder="1" applyAlignment="1">
      <alignment horizontal="center" vertical="center" wrapText="1"/>
    </xf>
    <xf numFmtId="176" fontId="40" fillId="0" borderId="71" xfId="5" applyNumberFormat="1" applyFont="1" applyFill="1" applyBorder="1" applyAlignment="1">
      <alignment horizontal="center" vertical="center" wrapText="1"/>
    </xf>
    <xf numFmtId="176" fontId="40" fillId="0" borderId="73" xfId="5" applyNumberFormat="1" applyFont="1" applyFill="1" applyBorder="1" applyAlignment="1">
      <alignment horizontal="center" vertical="center" wrapText="1"/>
    </xf>
    <xf numFmtId="176" fontId="53" fillId="0" borderId="8" xfId="5" applyNumberFormat="1" applyFont="1" applyFill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/>
    </xf>
    <xf numFmtId="0" fontId="51" fillId="2" borderId="76" xfId="0" applyFont="1" applyFill="1" applyBorder="1" applyAlignment="1">
      <alignment horizontal="center" vertical="center"/>
    </xf>
    <xf numFmtId="176" fontId="53" fillId="0" borderId="15" xfId="0" applyNumberFormat="1" applyFont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/>
    </xf>
    <xf numFmtId="0" fontId="41" fillId="2" borderId="62" xfId="0" applyFont="1" applyFill="1" applyBorder="1" applyAlignment="1">
      <alignment horizontal="center" vertical="center"/>
    </xf>
    <xf numFmtId="0" fontId="51" fillId="2" borderId="3" xfId="0" applyFont="1" applyFill="1" applyBorder="1" applyAlignment="1">
      <alignment horizontal="center" vertical="center"/>
    </xf>
    <xf numFmtId="0" fontId="51" fillId="2" borderId="2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76" xfId="0" applyFont="1" applyBorder="1" applyAlignment="1">
      <alignment horizontal="center" vertical="center"/>
    </xf>
    <xf numFmtId="0" fontId="40" fillId="0" borderId="62" xfId="0" applyFont="1" applyBorder="1" applyAlignment="1">
      <alignment horizontal="center" vertical="center"/>
    </xf>
    <xf numFmtId="0" fontId="53" fillId="0" borderId="78" xfId="0" applyFont="1" applyBorder="1" applyAlignment="1">
      <alignment horizontal="center" vertical="center"/>
    </xf>
    <xf numFmtId="0" fontId="51" fillId="10" borderId="1" xfId="0" applyFont="1" applyFill="1" applyBorder="1" applyAlignment="1">
      <alignment horizontal="center" vertical="center"/>
    </xf>
    <xf numFmtId="0" fontId="51" fillId="2" borderId="3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8" xfId="0" applyFont="1" applyBorder="1">
      <alignment vertical="center"/>
    </xf>
    <xf numFmtId="0" fontId="55" fillId="0" borderId="0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41" fillId="17" borderId="18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41" fillId="20" borderId="34" xfId="0" applyFont="1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41" fillId="11" borderId="18" xfId="0" applyFont="1" applyFill="1" applyBorder="1" applyAlignment="1">
      <alignment horizontal="center" vertical="center"/>
    </xf>
    <xf numFmtId="0" fontId="41" fillId="17" borderId="34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1" fillId="20" borderId="18" xfId="0" applyFont="1" applyFill="1" applyBorder="1" applyAlignment="1">
      <alignment horizontal="center" vertical="center"/>
    </xf>
    <xf numFmtId="0" fontId="41" fillId="7" borderId="34" xfId="0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18" fillId="21" borderId="0" xfId="0" applyFont="1" applyFill="1" applyAlignment="1">
      <alignment horizontal="center" vertical="center"/>
    </xf>
    <xf numFmtId="176" fontId="59" fillId="0" borderId="71" xfId="0" applyNumberFormat="1" applyFont="1" applyFill="1" applyBorder="1" applyAlignment="1">
      <alignment horizontal="center" vertical="center" wrapText="1"/>
    </xf>
    <xf numFmtId="0" fontId="51" fillId="22" borderId="6" xfId="0" applyFont="1" applyFill="1" applyBorder="1" applyAlignment="1">
      <alignment horizontal="center" vertical="center"/>
    </xf>
    <xf numFmtId="176" fontId="41" fillId="22" borderId="71" xfId="0" applyNumberFormat="1" applyFont="1" applyFill="1" applyBorder="1" applyAlignment="1">
      <alignment horizontal="center" vertical="center"/>
    </xf>
    <xf numFmtId="0" fontId="41" fillId="22" borderId="33" xfId="0" applyFont="1" applyFill="1" applyBorder="1" applyAlignment="1">
      <alignment horizontal="center" vertical="center"/>
    </xf>
    <xf numFmtId="0" fontId="18" fillId="22" borderId="68" xfId="0" applyFont="1" applyFill="1" applyBorder="1" applyAlignment="1">
      <alignment horizontal="center" vertical="center"/>
    </xf>
    <xf numFmtId="0" fontId="18" fillId="22" borderId="12" xfId="0" applyFont="1" applyFill="1" applyBorder="1" applyAlignment="1">
      <alignment horizontal="center" vertical="center"/>
    </xf>
    <xf numFmtId="0" fontId="0" fillId="22" borderId="65" xfId="0" applyFill="1" applyBorder="1" applyAlignment="1">
      <alignment horizontal="center" vertical="center"/>
    </xf>
    <xf numFmtId="0" fontId="18" fillId="22" borderId="39" xfId="0" applyFont="1" applyFill="1" applyBorder="1" applyAlignment="1">
      <alignment horizontal="center" vertical="center"/>
    </xf>
    <xf numFmtId="176" fontId="40" fillId="0" borderId="35" xfId="8" applyNumberFormat="1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horizontal="center" vertical="center"/>
    </xf>
    <xf numFmtId="176" fontId="53" fillId="0" borderId="0" xfId="8" applyNumberFormat="1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/>
    </xf>
    <xf numFmtId="176" fontId="40" fillId="0" borderId="4" xfId="8" applyNumberFormat="1" applyFont="1" applyFill="1" applyBorder="1" applyAlignment="1">
      <alignment horizontal="center" vertical="center" wrapText="1"/>
    </xf>
    <xf numFmtId="0" fontId="46" fillId="0" borderId="4" xfId="0" applyFont="1" applyFill="1" applyBorder="1" applyAlignment="1">
      <alignment horizontal="center" vertical="center"/>
    </xf>
    <xf numFmtId="176" fontId="53" fillId="0" borderId="4" xfId="0" applyNumberFormat="1" applyFont="1" applyFill="1" applyBorder="1" applyAlignment="1">
      <alignment horizontal="center" vertical="center" wrapText="1"/>
    </xf>
    <xf numFmtId="176" fontId="40" fillId="0" borderId="4" xfId="0" applyNumberFormat="1" applyFont="1" applyFill="1" applyBorder="1" applyAlignment="1">
      <alignment horizontal="center" vertical="center" wrapText="1"/>
    </xf>
    <xf numFmtId="0" fontId="50" fillId="0" borderId="4" xfId="0" applyFont="1" applyFill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0" fillId="0" borderId="7" xfId="0" applyFont="1" applyFill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50" fillId="0" borderId="4" xfId="0" applyFont="1" applyFill="1" applyBorder="1" applyAlignment="1">
      <alignment horizontal="center" vertical="center"/>
    </xf>
    <xf numFmtId="176" fontId="53" fillId="0" borderId="7" xfId="5" applyNumberFormat="1" applyFont="1" applyFill="1" applyBorder="1" applyAlignment="1">
      <alignment horizontal="center" vertical="center" wrapText="1"/>
    </xf>
    <xf numFmtId="0" fontId="40" fillId="0" borderId="37" xfId="0" applyFont="1" applyFill="1" applyBorder="1" applyAlignment="1">
      <alignment horizontal="center" vertical="center"/>
    </xf>
    <xf numFmtId="0" fontId="40" fillId="0" borderId="4" xfId="0" applyFont="1" applyFill="1" applyBorder="1" applyAlignment="1">
      <alignment horizontal="center" vertical="center"/>
    </xf>
    <xf numFmtId="0" fontId="51" fillId="0" borderId="37" xfId="0" applyFont="1" applyBorder="1" applyAlignment="1">
      <alignment horizontal="center" vertical="center"/>
    </xf>
    <xf numFmtId="0" fontId="21" fillId="0" borderId="37" xfId="0" applyFont="1" applyFill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176" fontId="50" fillId="0" borderId="80" xfId="0" applyNumberFormat="1" applyFont="1" applyFill="1" applyBorder="1" applyAlignment="1">
      <alignment horizontal="center" vertical="center"/>
    </xf>
    <xf numFmtId="176" fontId="50" fillId="0" borderId="34" xfId="0" applyNumberFormat="1" applyFont="1" applyFill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41" fillId="0" borderId="4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50" fillId="0" borderId="45" xfId="0" applyFont="1" applyFill="1" applyBorder="1" applyAlignment="1">
      <alignment horizontal="center" vertical="center"/>
    </xf>
    <xf numFmtId="0" fontId="50" fillId="0" borderId="45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18" fillId="0" borderId="5" xfId="0" applyFont="1" applyBorder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>
      <alignment vertical="center"/>
    </xf>
    <xf numFmtId="0" fontId="56" fillId="0" borderId="0" xfId="0" applyFont="1" applyBorder="1" applyAlignment="1">
      <alignment horizontal="center" vertical="center"/>
    </xf>
    <xf numFmtId="0" fontId="54" fillId="0" borderId="0" xfId="0" applyFont="1" applyFill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76" fontId="41" fillId="0" borderId="15" xfId="0" applyNumberFormat="1" applyFont="1" applyFill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10" xfId="0" applyFont="1" applyBorder="1">
      <alignment vertical="center"/>
    </xf>
    <xf numFmtId="0" fontId="50" fillId="0" borderId="0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176" fontId="41" fillId="0" borderId="42" xfId="0" applyNumberFormat="1" applyFont="1" applyFill="1" applyBorder="1" applyAlignment="1">
      <alignment horizontal="center" vertical="center"/>
    </xf>
    <xf numFmtId="0" fontId="51" fillId="10" borderId="38" xfId="0" applyFont="1" applyFill="1" applyBorder="1" applyAlignment="1">
      <alignment horizontal="center" vertical="center"/>
    </xf>
    <xf numFmtId="0" fontId="51" fillId="10" borderId="81" xfId="0" applyFont="1" applyFill="1" applyBorder="1" applyAlignment="1">
      <alignment horizontal="center" vertical="center"/>
    </xf>
    <xf numFmtId="176" fontId="41" fillId="0" borderId="12" xfId="0" applyNumberFormat="1" applyFont="1" applyFill="1" applyBorder="1" applyAlignment="1">
      <alignment horizontal="center" vertical="center"/>
    </xf>
    <xf numFmtId="176" fontId="50" fillId="0" borderId="12" xfId="0" applyNumberFormat="1" applyFont="1" applyFill="1" applyBorder="1" applyAlignment="1">
      <alignment horizontal="center" vertical="center"/>
    </xf>
    <xf numFmtId="176" fontId="18" fillId="0" borderId="71" xfId="0" applyNumberFormat="1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43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23" fillId="3" borderId="36" xfId="0" applyFont="1" applyFill="1" applyBorder="1" applyAlignment="1">
      <alignment horizontal="center" vertical="center" wrapText="1"/>
    </xf>
    <xf numFmtId="0" fontId="23" fillId="3" borderId="24" xfId="0" applyFont="1" applyFill="1" applyBorder="1" applyAlignment="1">
      <alignment horizontal="center" vertical="center" wrapText="1"/>
    </xf>
    <xf numFmtId="0" fontId="23" fillId="3" borderId="28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58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/>
    </xf>
    <xf numFmtId="0" fontId="10" fillId="0" borderId="59" xfId="0" applyFont="1" applyFill="1" applyBorder="1" applyAlignment="1">
      <alignment horizontal="center" vertical="center"/>
    </xf>
    <xf numFmtId="0" fontId="52" fillId="6" borderId="1" xfId="0" applyFont="1" applyFill="1" applyBorder="1" applyAlignment="1">
      <alignment horizontal="center" vertical="center"/>
    </xf>
    <xf numFmtId="0" fontId="52" fillId="6" borderId="2" xfId="0" applyFont="1" applyFill="1" applyBorder="1" applyAlignment="1">
      <alignment horizontal="center" vertical="center"/>
    </xf>
    <xf numFmtId="0" fontId="52" fillId="6" borderId="3" xfId="0" applyFont="1" applyFill="1" applyBorder="1" applyAlignment="1">
      <alignment horizontal="center" vertical="center"/>
    </xf>
    <xf numFmtId="0" fontId="52" fillId="6" borderId="4" xfId="0" applyFont="1" applyFill="1" applyBorder="1" applyAlignment="1">
      <alignment horizontal="center" vertical="center"/>
    </xf>
    <xf numFmtId="0" fontId="52" fillId="6" borderId="0" xfId="0" applyFont="1" applyFill="1" applyBorder="1" applyAlignment="1">
      <alignment horizontal="center" vertical="center"/>
    </xf>
    <xf numFmtId="0" fontId="52" fillId="6" borderId="5" xfId="0" applyFont="1" applyFill="1" applyBorder="1" applyAlignment="1">
      <alignment horizontal="center" vertical="center"/>
    </xf>
    <xf numFmtId="0" fontId="52" fillId="6" borderId="8" xfId="0" applyFont="1" applyFill="1" applyBorder="1" applyAlignment="1">
      <alignment horizontal="center" vertical="center"/>
    </xf>
    <xf numFmtId="0" fontId="52" fillId="6" borderId="9" xfId="0" applyFont="1" applyFill="1" applyBorder="1" applyAlignment="1">
      <alignment horizontal="center" vertical="center"/>
    </xf>
    <xf numFmtId="0" fontId="52" fillId="6" borderId="10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4" fillId="0" borderId="9" xfId="0" applyFont="1" applyBorder="1" applyAlignment="1">
      <alignment horizontal="left" vertical="center"/>
    </xf>
    <xf numFmtId="0" fontId="44" fillId="0" borderId="9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15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0" fillId="0" borderId="48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0" fontId="51" fillId="0" borderId="48" xfId="0" applyFont="1" applyBorder="1" applyAlignment="1">
      <alignment horizontal="center" vertical="center" wrapText="1"/>
    </xf>
    <xf numFmtId="0" fontId="51" fillId="0" borderId="37" xfId="0" applyFont="1" applyBorder="1" applyAlignment="1">
      <alignment horizontal="center" vertical="center" wrapText="1"/>
    </xf>
    <xf numFmtId="0" fontId="51" fillId="0" borderId="45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176" fontId="32" fillId="6" borderId="1" xfId="4" applyNumberFormat="1" applyFont="1" applyFill="1" applyBorder="1" applyAlignment="1">
      <alignment horizontal="center" vertical="center"/>
    </xf>
    <xf numFmtId="176" fontId="32" fillId="6" borderId="2" xfId="4" applyNumberFormat="1" applyFont="1" applyFill="1" applyBorder="1" applyAlignment="1">
      <alignment horizontal="center" vertical="center"/>
    </xf>
    <xf numFmtId="176" fontId="32" fillId="6" borderId="3" xfId="4" applyNumberFormat="1" applyFont="1" applyFill="1" applyBorder="1" applyAlignment="1">
      <alignment horizontal="center" vertical="center"/>
    </xf>
    <xf numFmtId="176" fontId="32" fillId="6" borderId="8" xfId="4" applyNumberFormat="1" applyFont="1" applyFill="1" applyBorder="1" applyAlignment="1">
      <alignment horizontal="center" vertical="center"/>
    </xf>
    <xf numFmtId="176" fontId="32" fillId="6" borderId="9" xfId="4" applyNumberFormat="1" applyFont="1" applyFill="1" applyBorder="1" applyAlignment="1">
      <alignment horizontal="center" vertical="center"/>
    </xf>
    <xf numFmtId="176" fontId="32" fillId="6" borderId="10" xfId="4" applyNumberFormat="1" applyFont="1" applyFill="1" applyBorder="1" applyAlignment="1">
      <alignment horizontal="center" vertical="center"/>
    </xf>
    <xf numFmtId="176" fontId="10" fillId="15" borderId="48" xfId="4" applyNumberFormat="1" applyFont="1" applyFill="1" applyBorder="1" applyAlignment="1">
      <alignment horizontal="center" vertical="center" wrapText="1"/>
    </xf>
    <xf numFmtId="176" fontId="10" fillId="15" borderId="37" xfId="4" applyNumberFormat="1" applyFont="1" applyFill="1" applyBorder="1" applyAlignment="1">
      <alignment horizontal="center" vertical="center"/>
    </xf>
    <xf numFmtId="176" fontId="10" fillId="15" borderId="45" xfId="4" applyNumberFormat="1" applyFont="1" applyFill="1" applyBorder="1" applyAlignment="1">
      <alignment horizontal="center" vertical="center"/>
    </xf>
    <xf numFmtId="176" fontId="10" fillId="15" borderId="1" xfId="4" applyNumberFormat="1" applyFont="1" applyFill="1" applyBorder="1" applyAlignment="1">
      <alignment horizontal="center" vertical="center" wrapText="1"/>
    </xf>
    <xf numFmtId="176" fontId="10" fillId="15" borderId="4" xfId="4" applyNumberFormat="1" applyFont="1" applyFill="1" applyBorder="1" applyAlignment="1">
      <alignment horizontal="center" vertical="center"/>
    </xf>
    <xf numFmtId="176" fontId="10" fillId="15" borderId="8" xfId="4" applyNumberFormat="1" applyFont="1" applyFill="1" applyBorder="1" applyAlignment="1">
      <alignment horizontal="center" vertical="center"/>
    </xf>
    <xf numFmtId="176" fontId="10" fillId="15" borderId="13" xfId="4" applyNumberFormat="1" applyFont="1" applyFill="1" applyBorder="1" applyAlignment="1">
      <alignment horizontal="center" vertical="center"/>
    </xf>
    <xf numFmtId="176" fontId="10" fillId="15" borderId="15" xfId="4" applyNumberFormat="1" applyFont="1" applyFill="1" applyBorder="1" applyAlignment="1">
      <alignment horizontal="center" vertical="center"/>
    </xf>
    <xf numFmtId="176" fontId="5" fillId="0" borderId="0" xfId="4" applyNumberFormat="1" applyFont="1" applyAlignment="1">
      <alignment horizontal="center" vertical="center"/>
    </xf>
    <xf numFmtId="176" fontId="9" fillId="13" borderId="48" xfId="4" applyNumberFormat="1" applyFont="1" applyFill="1" applyBorder="1" applyAlignment="1">
      <alignment horizontal="center" vertical="center"/>
    </xf>
    <xf numFmtId="176" fontId="9" fillId="13" borderId="37" xfId="4" applyNumberFormat="1" applyFont="1" applyFill="1" applyBorder="1" applyAlignment="1">
      <alignment horizontal="center" vertical="center"/>
    </xf>
    <xf numFmtId="176" fontId="9" fillId="13" borderId="45" xfId="4" applyNumberFormat="1" applyFont="1" applyFill="1" applyBorder="1" applyAlignment="1">
      <alignment horizontal="center" vertical="center"/>
    </xf>
    <xf numFmtId="176" fontId="11" fillId="0" borderId="9" xfId="4" applyNumberFormat="1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29" fillId="11" borderId="3" xfId="0" applyFont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8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center" vertical="center"/>
    </xf>
    <xf numFmtId="0" fontId="29" fillId="11" borderId="9" xfId="0" applyFont="1" applyFill="1" applyBorder="1" applyAlignment="1">
      <alignment horizontal="center" vertical="center"/>
    </xf>
  </cellXfs>
  <cellStyles count="10">
    <cellStyle name="40% - 강조색1" xfId="8" builtinId="31"/>
    <cellStyle name="좋음" xfId="5" builtinId="26"/>
    <cellStyle name="표준" xfId="0" builtinId="0"/>
    <cellStyle name="표준 2" xfId="1" xr:uid="{00000000-0005-0000-0000-000003000000}"/>
    <cellStyle name="표준 3" xfId="2" xr:uid="{00000000-0005-0000-0000-000004000000}"/>
    <cellStyle name="표준 4" xfId="3" xr:uid="{00000000-0005-0000-0000-000005000000}"/>
    <cellStyle name="표준 5" xfId="4" xr:uid="{00000000-0005-0000-0000-000006000000}"/>
    <cellStyle name="표준 5 2" xfId="9" xr:uid="{00000000-0005-0000-0000-000007000000}"/>
    <cellStyle name="표준 6" xfId="6" xr:uid="{00000000-0005-0000-0000-000008000000}"/>
    <cellStyle name="표준 7" xfId="7" xr:uid="{00000000-0005-0000-0000-000009000000}"/>
  </cellStyles>
  <dxfs count="9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E4B1F9"/>
      <color rgb="FFADFDCB"/>
      <color rgb="FFFAB0C2"/>
      <color rgb="FFFF99FF"/>
      <color rgb="FFD2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450273</xdr:colOff>
      <xdr:row>0</xdr:row>
      <xdr:rowOff>123700</xdr:rowOff>
    </xdr:from>
    <xdr:to>
      <xdr:col>27</xdr:col>
      <xdr:colOff>225136</xdr:colOff>
      <xdr:row>4</xdr:row>
      <xdr:rowOff>155864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8305318" y="123700"/>
          <a:ext cx="1160318" cy="984664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chemeClr val="tx1"/>
              </a:solidFill>
            </a:rPr>
            <a:t>C</a:t>
          </a:r>
          <a:endParaRPr lang="ko-KR" altLang="en-US" sz="6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1</xdr:row>
      <xdr:rowOff>103909</xdr:rowOff>
    </xdr:from>
    <xdr:to>
      <xdr:col>13</xdr:col>
      <xdr:colOff>675409</xdr:colOff>
      <xdr:row>6</xdr:row>
      <xdr:rowOff>103909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8572500" y="311727"/>
          <a:ext cx="1368136" cy="1177637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chemeClr val="tx1"/>
              </a:solidFill>
            </a:rPr>
            <a:t>B</a:t>
          </a:r>
          <a:endParaRPr lang="ko-KR" altLang="en-US" sz="60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142876</xdr:colOff>
      <xdr:row>39</xdr:row>
      <xdr:rowOff>86591</xdr:rowOff>
    </xdr:from>
    <xdr:to>
      <xdr:col>16</xdr:col>
      <xdr:colOff>242456</xdr:colOff>
      <xdr:row>45</xdr:row>
      <xdr:rowOff>34636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10100831" y="8814955"/>
          <a:ext cx="1485034" cy="1298863"/>
        </a:xfrm>
        <a:prstGeom prst="rect">
          <a:avLst/>
        </a:prstGeom>
        <a:solidFill>
          <a:srgbClr val="E4B1F9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chemeClr val="tx1"/>
              </a:solidFill>
            </a:rPr>
            <a:t>A</a:t>
          </a:r>
          <a:r>
            <a:rPr lang="en-US" altLang="ko-KR" sz="6000" b="1"/>
            <a:t> </a:t>
          </a:r>
          <a:endParaRPr lang="ko-KR" altLang="en-US" sz="6000" b="1"/>
        </a:p>
      </xdr:txBody>
    </xdr:sp>
    <xdr:clientData/>
  </xdr:twoCellAnchor>
  <xdr:twoCellAnchor>
    <xdr:from>
      <xdr:col>17</xdr:col>
      <xdr:colOff>675409</xdr:colOff>
      <xdr:row>36</xdr:row>
      <xdr:rowOff>86593</xdr:rowOff>
    </xdr:from>
    <xdr:to>
      <xdr:col>19</xdr:col>
      <xdr:colOff>658091</xdr:colOff>
      <xdr:row>42</xdr:row>
      <xdr:rowOff>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2988636" y="8139548"/>
          <a:ext cx="1368137" cy="1264226"/>
        </a:xfrm>
        <a:prstGeom prst="rect">
          <a:avLst/>
        </a:prstGeom>
        <a:solidFill>
          <a:srgbClr val="FAB0C2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chemeClr val="tx1"/>
              </a:solidFill>
            </a:rPr>
            <a:t>D</a:t>
          </a:r>
          <a:endParaRPr lang="ko-KR" altLang="en-US" sz="60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573538</xdr:colOff>
      <xdr:row>2</xdr:row>
      <xdr:rowOff>640</xdr:rowOff>
    </xdr:from>
    <xdr:to>
      <xdr:col>27</xdr:col>
      <xdr:colOff>84009</xdr:colOff>
      <xdr:row>4</xdr:row>
      <xdr:rowOff>182823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6534717" y="1075604"/>
          <a:ext cx="898399" cy="67204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chemeClr val="tx1"/>
              </a:solidFill>
            </a:rPr>
            <a:t>C</a:t>
          </a:r>
          <a:endParaRPr lang="ko-KR" altLang="en-US" sz="6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549889</xdr:colOff>
      <xdr:row>1</xdr:row>
      <xdr:rowOff>550689</xdr:rowOff>
    </xdr:from>
    <xdr:to>
      <xdr:col>14</xdr:col>
      <xdr:colOff>61161</xdr:colOff>
      <xdr:row>4</xdr:row>
      <xdr:rowOff>217716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489532" y="1013332"/>
          <a:ext cx="899200" cy="769205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chemeClr val="tx1"/>
              </a:solidFill>
            </a:rPr>
            <a:t>B</a:t>
          </a:r>
          <a:endParaRPr lang="ko-KR" altLang="en-US" sz="60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438712</xdr:colOff>
      <xdr:row>42</xdr:row>
      <xdr:rowOff>86591</xdr:rowOff>
    </xdr:from>
    <xdr:to>
      <xdr:col>15</xdr:col>
      <xdr:colOff>677565</xdr:colOff>
      <xdr:row>46</xdr:row>
      <xdr:rowOff>38574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444167" y="10588831"/>
          <a:ext cx="931580" cy="941594"/>
        </a:xfrm>
        <a:prstGeom prst="rect">
          <a:avLst/>
        </a:prstGeom>
        <a:solidFill>
          <a:srgbClr val="E4B1F9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chemeClr val="tx1"/>
              </a:solidFill>
            </a:rPr>
            <a:t>A</a:t>
          </a:r>
          <a:r>
            <a:rPr lang="en-US" altLang="ko-KR" sz="6000" b="1"/>
            <a:t> </a:t>
          </a:r>
          <a:endParaRPr lang="ko-KR" altLang="en-US" sz="6000" b="1"/>
        </a:p>
      </xdr:txBody>
    </xdr:sp>
    <xdr:clientData/>
  </xdr:twoCellAnchor>
  <xdr:twoCellAnchor>
    <xdr:from>
      <xdr:col>19</xdr:col>
      <xdr:colOff>0</xdr:colOff>
      <xdr:row>45</xdr:row>
      <xdr:rowOff>123701</xdr:rowOff>
    </xdr:from>
    <xdr:to>
      <xdr:col>19</xdr:col>
      <xdr:colOff>647669</xdr:colOff>
      <xdr:row>51</xdr:row>
      <xdr:rowOff>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2469091" y="11368149"/>
          <a:ext cx="647669" cy="1360716"/>
        </a:xfrm>
        <a:prstGeom prst="rect">
          <a:avLst/>
        </a:prstGeom>
        <a:solidFill>
          <a:srgbClr val="FAB0C2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chemeClr val="tx1"/>
              </a:solidFill>
            </a:rPr>
            <a:t>D</a:t>
          </a:r>
          <a:endParaRPr lang="ko-KR" altLang="en-US" sz="60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468768</xdr:colOff>
      <xdr:row>29</xdr:row>
      <xdr:rowOff>171583</xdr:rowOff>
    </xdr:from>
    <xdr:to>
      <xdr:col>18</xdr:col>
      <xdr:colOff>1</xdr:colOff>
      <xdr:row>33</xdr:row>
      <xdr:rowOff>121227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1552404" y="6908356"/>
          <a:ext cx="916688" cy="8501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ysClr val="windowText" lastClr="000000"/>
              </a:solidFill>
            </a:rPr>
            <a:t>D</a:t>
          </a:r>
          <a:endParaRPr lang="ko-KR" altLang="en-US" sz="6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86701</xdr:colOff>
      <xdr:row>0</xdr:row>
      <xdr:rowOff>144763</xdr:rowOff>
    </xdr:from>
    <xdr:to>
      <xdr:col>10</xdr:col>
      <xdr:colOff>450272</xdr:colOff>
      <xdr:row>3</xdr:row>
      <xdr:rowOff>173183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6321246" y="144763"/>
          <a:ext cx="1056299" cy="911647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ln>
                <a:noFill/>
              </a:ln>
              <a:solidFill>
                <a:sysClr val="windowText" lastClr="000000"/>
              </a:solidFill>
            </a:rPr>
            <a:t>B</a:t>
          </a:r>
          <a:endParaRPr lang="ko-KR" altLang="en-US" sz="60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588597</xdr:colOff>
      <xdr:row>0</xdr:row>
      <xdr:rowOff>243389</xdr:rowOff>
    </xdr:from>
    <xdr:to>
      <xdr:col>25</xdr:col>
      <xdr:colOff>294407</xdr:colOff>
      <xdr:row>3</xdr:row>
      <xdr:rowOff>155864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6521324" y="243389"/>
          <a:ext cx="1091265" cy="79570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6000" b="1">
              <a:solidFill>
                <a:sysClr val="windowText" lastClr="000000"/>
              </a:solidFill>
            </a:rPr>
            <a:t>C</a:t>
          </a:r>
          <a:endParaRPr lang="ko-KR" altLang="en-US" sz="6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688242</xdr:colOff>
      <xdr:row>29</xdr:row>
      <xdr:rowOff>159809</xdr:rowOff>
    </xdr:from>
    <xdr:to>
      <xdr:col>14</xdr:col>
      <xdr:colOff>381000</xdr:colOff>
      <xdr:row>33</xdr:row>
      <xdr:rowOff>138545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9000969" y="6896582"/>
          <a:ext cx="1078213" cy="879281"/>
        </a:xfrm>
        <a:prstGeom prst="rect">
          <a:avLst/>
        </a:prstGeom>
        <a:solidFill>
          <a:srgbClr val="FFCCFF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6000" b="1">
              <a:solidFill>
                <a:sysClr val="windowText" lastClr="000000"/>
              </a:solidFill>
            </a:rPr>
            <a:t>A</a:t>
          </a:r>
          <a:endParaRPr lang="ko-KR" altLang="en-US" sz="60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workbookViewId="0">
      <selection activeCell="F11" sqref="F11"/>
    </sheetView>
  </sheetViews>
  <sheetFormatPr defaultRowHeight="16.5" x14ac:dyDescent="0.3"/>
  <sheetData>
    <row r="2" spans="2:10" ht="17.25" thickBot="1" x14ac:dyDescent="0.35"/>
    <row r="3" spans="2:10" ht="17.25" thickBot="1" x14ac:dyDescent="0.35">
      <c r="B3" s="35" t="s">
        <v>4</v>
      </c>
    </row>
    <row r="4" spans="2:10" ht="120.2" customHeight="1" thickBot="1" x14ac:dyDescent="0.35">
      <c r="B4" s="467" t="s">
        <v>985</v>
      </c>
      <c r="C4" s="468"/>
      <c r="D4" s="468"/>
      <c r="E4" s="468"/>
      <c r="F4" s="468"/>
      <c r="G4" s="468"/>
      <c r="H4" s="468"/>
      <c r="I4" s="468"/>
      <c r="J4" s="469"/>
    </row>
  </sheetData>
  <mergeCells count="1">
    <mergeCell ref="B4:J4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47"/>
  <sheetViews>
    <sheetView zoomScale="115" zoomScaleNormal="115" workbookViewId="0">
      <pane ySplit="2" topLeftCell="A3" activePane="bottomLeft" state="frozen"/>
      <selection pane="bottomLeft" activeCell="C64" sqref="C64"/>
    </sheetView>
  </sheetViews>
  <sheetFormatPr defaultColWidth="9" defaultRowHeight="16.5" x14ac:dyDescent="0.3"/>
  <cols>
    <col min="1" max="1" width="9" style="38"/>
    <col min="2" max="2" width="7.125" style="38" customWidth="1"/>
    <col min="3" max="6" width="9" style="38"/>
    <col min="7" max="7" width="13.125" style="38" bestFit="1" customWidth="1"/>
    <col min="8" max="8" width="8.625" customWidth="1"/>
    <col min="9" max="16384" width="9" style="38"/>
  </cols>
  <sheetData>
    <row r="1" spans="2:7" ht="17.25" thickBot="1" x14ac:dyDescent="0.35"/>
    <row r="2" spans="2:7" x14ac:dyDescent="0.3">
      <c r="B2" s="58" t="s">
        <v>255</v>
      </c>
      <c r="C2" s="59" t="s">
        <v>7</v>
      </c>
      <c r="D2" s="59" t="s">
        <v>2</v>
      </c>
      <c r="E2" s="59" t="s">
        <v>6</v>
      </c>
      <c r="F2" s="59" t="s">
        <v>3</v>
      </c>
      <c r="G2" s="60" t="s">
        <v>5</v>
      </c>
    </row>
    <row r="3" spans="2:7" ht="16.5" customHeight="1" x14ac:dyDescent="0.3">
      <c r="B3" s="61" t="s">
        <v>254</v>
      </c>
      <c r="C3" s="69"/>
      <c r="D3" s="69"/>
      <c r="E3" s="68"/>
      <c r="F3" s="68"/>
      <c r="G3" s="70"/>
    </row>
    <row r="4" spans="2:7" x14ac:dyDescent="0.3">
      <c r="B4" s="61" t="s">
        <v>252</v>
      </c>
      <c r="C4" s="39"/>
      <c r="D4" s="39"/>
      <c r="E4" s="39"/>
      <c r="F4" s="39"/>
      <c r="G4" s="71"/>
    </row>
    <row r="5" spans="2:7" ht="16.5" customHeight="1" x14ac:dyDescent="0.3">
      <c r="B5" s="61" t="s">
        <v>250</v>
      </c>
      <c r="C5" s="69"/>
      <c r="D5" s="69"/>
      <c r="E5" s="68"/>
      <c r="F5" s="68"/>
      <c r="G5" s="71"/>
    </row>
    <row r="6" spans="2:7" ht="16.5" customHeight="1" x14ac:dyDescent="0.3">
      <c r="B6" s="61" t="s">
        <v>248</v>
      </c>
      <c r="C6" s="39"/>
      <c r="D6" s="39"/>
      <c r="E6" s="39"/>
      <c r="F6" s="39"/>
      <c r="G6" s="71"/>
    </row>
    <row r="7" spans="2:7" ht="16.5" customHeight="1" x14ac:dyDescent="0.3">
      <c r="B7" s="61" t="s">
        <v>246</v>
      </c>
      <c r="C7" s="39"/>
      <c r="D7" s="39"/>
      <c r="E7" s="39"/>
      <c r="F7" s="39"/>
      <c r="G7" s="71"/>
    </row>
    <row r="8" spans="2:7" ht="16.5" customHeight="1" x14ac:dyDescent="0.3">
      <c r="B8" s="61" t="s">
        <v>244</v>
      </c>
      <c r="C8" s="39"/>
      <c r="D8" s="39"/>
      <c r="E8" s="39"/>
      <c r="F8" s="39"/>
      <c r="G8" s="71"/>
    </row>
    <row r="9" spans="2:7" ht="16.5" customHeight="1" x14ac:dyDescent="0.3">
      <c r="B9" s="61" t="s">
        <v>242</v>
      </c>
      <c r="C9" s="39"/>
      <c r="D9" s="39"/>
      <c r="E9" s="39"/>
      <c r="F9" s="39"/>
      <c r="G9" s="71"/>
    </row>
    <row r="10" spans="2:7" ht="16.5" customHeight="1" x14ac:dyDescent="0.3">
      <c r="B10" s="61" t="s">
        <v>240</v>
      </c>
      <c r="C10" s="39"/>
      <c r="D10" s="39"/>
      <c r="E10" s="39"/>
      <c r="F10" s="39"/>
      <c r="G10" s="71"/>
    </row>
    <row r="11" spans="2:7" ht="16.5" customHeight="1" x14ac:dyDescent="0.3">
      <c r="B11" s="61" t="s">
        <v>238</v>
      </c>
      <c r="C11" s="39"/>
      <c r="D11" s="39"/>
      <c r="E11" s="39"/>
      <c r="F11" s="39"/>
      <c r="G11" s="71"/>
    </row>
    <row r="12" spans="2:7" ht="16.5" customHeight="1" x14ac:dyDescent="0.3">
      <c r="B12" s="61" t="s">
        <v>236</v>
      </c>
      <c r="C12" s="39"/>
      <c r="D12" s="39"/>
      <c r="E12" s="39"/>
      <c r="F12" s="39"/>
      <c r="G12" s="71"/>
    </row>
    <row r="13" spans="2:7" x14ac:dyDescent="0.3">
      <c r="B13" s="61" t="s">
        <v>234</v>
      </c>
      <c r="C13" s="39"/>
      <c r="D13" s="39"/>
      <c r="E13" s="39"/>
      <c r="F13" s="39"/>
      <c r="G13" s="71"/>
    </row>
    <row r="14" spans="2:7" ht="16.5" customHeight="1" x14ac:dyDescent="0.3">
      <c r="B14" s="61" t="s">
        <v>232</v>
      </c>
      <c r="C14" s="39"/>
      <c r="D14" s="39"/>
      <c r="E14" s="39"/>
      <c r="F14" s="39"/>
      <c r="G14" s="71"/>
    </row>
    <row r="15" spans="2:7" ht="16.5" customHeight="1" x14ac:dyDescent="0.3">
      <c r="B15" s="61" t="s">
        <v>230</v>
      </c>
      <c r="C15" s="39"/>
      <c r="D15" s="39"/>
      <c r="E15" s="39"/>
      <c r="F15" s="39"/>
      <c r="G15" s="71"/>
    </row>
    <row r="16" spans="2:7" ht="16.5" customHeight="1" x14ac:dyDescent="0.3">
      <c r="B16" s="61" t="s">
        <v>228</v>
      </c>
      <c r="C16" s="39"/>
      <c r="D16" s="39"/>
      <c r="E16" s="39"/>
      <c r="F16" s="39"/>
      <c r="G16" s="71"/>
    </row>
    <row r="17" spans="2:7" ht="16.5" customHeight="1" x14ac:dyDescent="0.3">
      <c r="B17" s="61" t="s">
        <v>226</v>
      </c>
      <c r="C17" s="39"/>
      <c r="D17" s="39"/>
      <c r="E17" s="39"/>
      <c r="F17" s="39"/>
      <c r="G17" s="71"/>
    </row>
    <row r="18" spans="2:7" ht="16.5" customHeight="1" x14ac:dyDescent="0.3">
      <c r="B18" s="61" t="s">
        <v>224</v>
      </c>
      <c r="C18" s="39"/>
      <c r="D18" s="39"/>
      <c r="E18" s="39"/>
      <c r="F18" s="39"/>
      <c r="G18" s="71"/>
    </row>
    <row r="19" spans="2:7" ht="16.5" customHeight="1" x14ac:dyDescent="0.3">
      <c r="B19" s="61" t="s">
        <v>222</v>
      </c>
      <c r="C19" s="39"/>
      <c r="D19" s="39"/>
      <c r="E19" s="39"/>
      <c r="F19" s="39"/>
      <c r="G19" s="71"/>
    </row>
    <row r="20" spans="2:7" ht="16.5" customHeight="1" x14ac:dyDescent="0.3">
      <c r="B20" s="61" t="s">
        <v>220</v>
      </c>
      <c r="C20" s="39"/>
      <c r="D20" s="39"/>
      <c r="E20" s="39"/>
      <c r="F20" s="39"/>
      <c r="G20" s="71"/>
    </row>
    <row r="21" spans="2:7" ht="16.5" customHeight="1" x14ac:dyDescent="0.3">
      <c r="B21" s="61" t="s">
        <v>218</v>
      </c>
      <c r="C21" s="39"/>
      <c r="D21" s="39"/>
      <c r="E21" s="39"/>
      <c r="F21" s="39"/>
      <c r="G21" s="71"/>
    </row>
    <row r="22" spans="2:7" ht="16.5" customHeight="1" x14ac:dyDescent="0.3">
      <c r="B22" s="61" t="s">
        <v>216</v>
      </c>
      <c r="C22" s="39"/>
      <c r="D22" s="39"/>
      <c r="E22" s="39"/>
      <c r="F22" s="39"/>
      <c r="G22" s="71"/>
    </row>
    <row r="23" spans="2:7" x14ac:dyDescent="0.3">
      <c r="B23" s="61" t="s">
        <v>214</v>
      </c>
      <c r="C23" s="39"/>
      <c r="D23" s="39"/>
      <c r="E23" s="39"/>
      <c r="F23" s="39"/>
      <c r="G23" s="71"/>
    </row>
    <row r="24" spans="2:7" ht="16.5" customHeight="1" x14ac:dyDescent="0.3">
      <c r="B24" s="61" t="s">
        <v>212</v>
      </c>
      <c r="C24" s="39"/>
      <c r="D24" s="39"/>
      <c r="E24" s="39"/>
      <c r="F24" s="39"/>
      <c r="G24" s="71"/>
    </row>
    <row r="25" spans="2:7" ht="16.5" customHeight="1" x14ac:dyDescent="0.3">
      <c r="B25" s="61" t="s">
        <v>210</v>
      </c>
      <c r="C25" s="39"/>
      <c r="D25" s="39"/>
      <c r="E25" s="39"/>
      <c r="F25" s="39"/>
      <c r="G25" s="71"/>
    </row>
    <row r="26" spans="2:7" ht="16.5" customHeight="1" x14ac:dyDescent="0.3">
      <c r="B26" s="61" t="s">
        <v>208</v>
      </c>
      <c r="C26" s="39"/>
      <c r="D26" s="39"/>
      <c r="E26" s="39"/>
      <c r="F26" s="39"/>
      <c r="G26" s="71"/>
    </row>
    <row r="27" spans="2:7" ht="16.5" customHeight="1" x14ac:dyDescent="0.3">
      <c r="B27" s="61" t="s">
        <v>206</v>
      </c>
      <c r="C27" s="39"/>
      <c r="D27" s="39"/>
      <c r="E27" s="39"/>
      <c r="F27" s="39"/>
      <c r="G27" s="71"/>
    </row>
    <row r="28" spans="2:7" ht="16.5" customHeight="1" x14ac:dyDescent="0.3">
      <c r="B28" s="61" t="s">
        <v>203</v>
      </c>
      <c r="C28" s="39"/>
      <c r="D28" s="39"/>
      <c r="E28" s="39"/>
      <c r="F28" s="39"/>
      <c r="G28" s="71"/>
    </row>
    <row r="29" spans="2:7" x14ac:dyDescent="0.3">
      <c r="B29" s="61" t="s">
        <v>201</v>
      </c>
      <c r="C29" s="39"/>
      <c r="D29" s="39"/>
      <c r="E29" s="39"/>
      <c r="F29" s="39"/>
      <c r="G29" s="71"/>
    </row>
    <row r="30" spans="2:7" ht="16.5" customHeight="1" x14ac:dyDescent="0.3">
      <c r="B30" s="61" t="s">
        <v>200</v>
      </c>
      <c r="C30" s="39"/>
      <c r="D30" s="39"/>
      <c r="E30" s="39"/>
      <c r="F30" s="39"/>
      <c r="G30" s="72"/>
    </row>
    <row r="31" spans="2:7" ht="16.5" customHeight="1" x14ac:dyDescent="0.3">
      <c r="B31" s="61" t="s">
        <v>198</v>
      </c>
      <c r="C31" s="39"/>
      <c r="D31" s="39"/>
      <c r="E31" s="39"/>
      <c r="F31" s="39"/>
      <c r="G31" s="71"/>
    </row>
    <row r="32" spans="2:7" ht="16.5" customHeight="1" x14ac:dyDescent="0.3">
      <c r="B32" s="61" t="s">
        <v>197</v>
      </c>
      <c r="C32" s="39"/>
      <c r="D32" s="39"/>
      <c r="E32" s="39"/>
      <c r="F32" s="39"/>
      <c r="G32" s="71"/>
    </row>
    <row r="33" spans="2:7" ht="16.5" customHeight="1" x14ac:dyDescent="0.3">
      <c r="B33" s="61" t="s">
        <v>195</v>
      </c>
      <c r="C33" s="39"/>
      <c r="D33" s="39"/>
      <c r="E33" s="39"/>
      <c r="F33" s="39"/>
      <c r="G33" s="71"/>
    </row>
    <row r="34" spans="2:7" ht="16.5" customHeight="1" x14ac:dyDescent="0.3">
      <c r="B34" s="61" t="s">
        <v>192</v>
      </c>
      <c r="C34" s="39"/>
      <c r="D34" s="39"/>
      <c r="E34" s="39"/>
      <c r="F34" s="39"/>
      <c r="G34" s="71"/>
    </row>
    <row r="35" spans="2:7" x14ac:dyDescent="0.3">
      <c r="B35" s="61" t="s">
        <v>190</v>
      </c>
      <c r="C35" s="39"/>
      <c r="D35" s="39"/>
      <c r="E35" s="39"/>
      <c r="F35" s="39"/>
      <c r="G35" s="71"/>
    </row>
    <row r="36" spans="2:7" ht="16.5" customHeight="1" x14ac:dyDescent="0.3">
      <c r="B36" s="61" t="s">
        <v>188</v>
      </c>
      <c r="C36" s="39"/>
      <c r="D36" s="39"/>
      <c r="E36" s="39"/>
      <c r="F36" s="39"/>
      <c r="G36" s="71"/>
    </row>
    <row r="37" spans="2:7" ht="16.5" customHeight="1" x14ac:dyDescent="0.3">
      <c r="B37" s="61" t="s">
        <v>186</v>
      </c>
      <c r="C37" s="39"/>
      <c r="D37" s="39"/>
      <c r="E37" s="39"/>
      <c r="F37" s="39"/>
      <c r="G37" s="71"/>
    </row>
    <row r="38" spans="2:7" ht="16.5" customHeight="1" x14ac:dyDescent="0.3">
      <c r="B38" s="61" t="s">
        <v>184</v>
      </c>
      <c r="C38" s="39"/>
      <c r="D38" s="39"/>
      <c r="E38" s="39"/>
      <c r="F38" s="39"/>
      <c r="G38" s="70"/>
    </row>
    <row r="39" spans="2:7" ht="16.5" customHeight="1" x14ac:dyDescent="0.3">
      <c r="B39" s="61" t="s">
        <v>182</v>
      </c>
      <c r="C39" s="39"/>
      <c r="D39" s="39"/>
      <c r="E39" s="39"/>
      <c r="F39" s="39"/>
      <c r="G39" s="71"/>
    </row>
    <row r="40" spans="2:7" ht="16.5" customHeight="1" x14ac:dyDescent="0.3">
      <c r="B40" s="61" t="s">
        <v>180</v>
      </c>
      <c r="C40" s="39"/>
      <c r="D40" s="39"/>
      <c r="E40" s="39"/>
      <c r="F40" s="39"/>
      <c r="G40" s="71"/>
    </row>
    <row r="41" spans="2:7" ht="16.5" customHeight="1" x14ac:dyDescent="0.3">
      <c r="B41" s="61" t="s">
        <v>178</v>
      </c>
      <c r="C41" s="39"/>
      <c r="D41" s="39"/>
      <c r="E41" s="39"/>
      <c r="F41" s="39"/>
      <c r="G41" s="71"/>
    </row>
    <row r="42" spans="2:7" ht="16.5" customHeight="1" x14ac:dyDescent="0.3">
      <c r="B42" s="61" t="s">
        <v>176</v>
      </c>
      <c r="C42" s="39"/>
      <c r="D42" s="39"/>
      <c r="E42" s="39"/>
      <c r="F42" s="39"/>
      <c r="G42" s="71"/>
    </row>
    <row r="43" spans="2:7" ht="16.5" customHeight="1" x14ac:dyDescent="0.3">
      <c r="B43" s="61" t="s">
        <v>174</v>
      </c>
      <c r="C43" s="39"/>
      <c r="D43" s="39"/>
      <c r="E43" s="39"/>
      <c r="F43" s="39"/>
      <c r="G43" s="71"/>
    </row>
    <row r="44" spans="2:7" ht="16.5" customHeight="1" x14ac:dyDescent="0.3">
      <c r="B44" s="61" t="s">
        <v>172</v>
      </c>
      <c r="C44" s="39"/>
      <c r="D44" s="39"/>
      <c r="E44" s="39"/>
      <c r="F44" s="39"/>
      <c r="G44" s="71"/>
    </row>
    <row r="45" spans="2:7" ht="16.5" customHeight="1" x14ac:dyDescent="0.3">
      <c r="B45" s="61" t="s">
        <v>170</v>
      </c>
      <c r="C45" s="39"/>
      <c r="D45" s="39"/>
      <c r="E45" s="39"/>
      <c r="F45" s="39"/>
      <c r="G45" s="71"/>
    </row>
    <row r="46" spans="2:7" ht="16.5" customHeight="1" x14ac:dyDescent="0.3">
      <c r="B46" s="61" t="s">
        <v>168</v>
      </c>
      <c r="C46" s="39"/>
      <c r="D46" s="39"/>
      <c r="E46" s="39"/>
      <c r="F46" s="39"/>
      <c r="G46" s="71"/>
    </row>
    <row r="47" spans="2:7" ht="16.5" customHeight="1" x14ac:dyDescent="0.3">
      <c r="B47" s="61" t="s">
        <v>166</v>
      </c>
      <c r="C47" s="39"/>
      <c r="D47" s="39"/>
      <c r="E47" s="39"/>
      <c r="F47" s="39"/>
      <c r="G47" s="71"/>
    </row>
    <row r="48" spans="2:7" ht="16.5" customHeight="1" x14ac:dyDescent="0.3">
      <c r="B48" s="61" t="s">
        <v>164</v>
      </c>
      <c r="C48" s="39"/>
      <c r="D48" s="39"/>
      <c r="E48" s="39"/>
      <c r="F48" s="39"/>
      <c r="G48" s="71"/>
    </row>
    <row r="49" spans="2:7" ht="16.5" customHeight="1" x14ac:dyDescent="0.3">
      <c r="B49" s="61" t="s">
        <v>162</v>
      </c>
      <c r="C49" s="39"/>
      <c r="D49" s="39"/>
      <c r="E49" s="39"/>
      <c r="F49" s="39"/>
      <c r="G49" s="71"/>
    </row>
    <row r="50" spans="2:7" ht="16.5" customHeight="1" x14ac:dyDescent="0.3">
      <c r="B50" s="61" t="s">
        <v>160</v>
      </c>
      <c r="C50" s="39"/>
      <c r="D50" s="39"/>
      <c r="E50" s="39"/>
      <c r="F50" s="39"/>
      <c r="G50" s="71"/>
    </row>
    <row r="51" spans="2:7" ht="16.5" customHeight="1" x14ac:dyDescent="0.3">
      <c r="B51" s="61" t="s">
        <v>158</v>
      </c>
      <c r="C51" s="39"/>
      <c r="D51" s="39"/>
      <c r="E51" s="39"/>
      <c r="F51" s="39"/>
      <c r="G51" s="71"/>
    </row>
    <row r="52" spans="2:7" ht="16.5" customHeight="1" x14ac:dyDescent="0.3">
      <c r="B52" s="61" t="s">
        <v>156</v>
      </c>
      <c r="C52" s="39"/>
      <c r="D52" s="39"/>
      <c r="E52" s="39"/>
      <c r="F52" s="39"/>
      <c r="G52" s="71"/>
    </row>
    <row r="53" spans="2:7" ht="16.5" customHeight="1" x14ac:dyDescent="0.3">
      <c r="B53" s="61" t="s">
        <v>136</v>
      </c>
      <c r="C53" s="39"/>
      <c r="D53" s="39"/>
      <c r="E53" s="39"/>
      <c r="F53" s="39"/>
      <c r="G53" s="71"/>
    </row>
    <row r="54" spans="2:7" ht="16.5" customHeight="1" x14ac:dyDescent="0.3">
      <c r="B54" s="61" t="s">
        <v>138</v>
      </c>
      <c r="C54" s="39"/>
      <c r="D54" s="39"/>
      <c r="E54" s="39"/>
      <c r="F54" s="39"/>
      <c r="G54" s="71"/>
    </row>
    <row r="55" spans="2:7" ht="16.5" customHeight="1" x14ac:dyDescent="0.3">
      <c r="B55" s="61" t="s">
        <v>140</v>
      </c>
      <c r="C55" s="39"/>
      <c r="D55" s="39"/>
      <c r="E55" s="39"/>
      <c r="F55" s="39"/>
      <c r="G55" s="71"/>
    </row>
    <row r="56" spans="2:7" ht="16.5" customHeight="1" x14ac:dyDescent="0.3">
      <c r="B56" s="61" t="s">
        <v>9</v>
      </c>
      <c r="C56" s="39"/>
      <c r="D56" s="39"/>
      <c r="E56" s="39"/>
      <c r="F56" s="39"/>
      <c r="G56" s="71"/>
    </row>
    <row r="57" spans="2:7" ht="16.5" customHeight="1" x14ac:dyDescent="0.3">
      <c r="B57" s="61" t="s">
        <v>8</v>
      </c>
      <c r="C57" s="39"/>
      <c r="D57" s="39"/>
      <c r="E57" s="39"/>
      <c r="F57" s="39"/>
      <c r="G57" s="71"/>
    </row>
    <row r="58" spans="2:7" ht="16.5" customHeight="1" x14ac:dyDescent="0.3">
      <c r="B58" s="61" t="s">
        <v>256</v>
      </c>
      <c r="C58" s="39"/>
      <c r="D58" s="39"/>
      <c r="E58" s="39"/>
      <c r="F58" s="39"/>
      <c r="G58" s="71"/>
    </row>
    <row r="59" spans="2:7" x14ac:dyDescent="0.3">
      <c r="B59" s="61" t="s">
        <v>257</v>
      </c>
      <c r="C59" s="39"/>
      <c r="D59" s="39"/>
      <c r="E59" s="39"/>
      <c r="F59" s="39"/>
      <c r="G59" s="71"/>
    </row>
    <row r="60" spans="2:7" ht="16.5" customHeight="1" x14ac:dyDescent="0.3">
      <c r="B60" s="61" t="s">
        <v>258</v>
      </c>
      <c r="C60" s="39"/>
      <c r="D60" s="39"/>
      <c r="E60" s="39"/>
      <c r="F60" s="39"/>
      <c r="G60" s="71"/>
    </row>
    <row r="61" spans="2:7" ht="16.5" customHeight="1" x14ac:dyDescent="0.3">
      <c r="B61" s="61" t="s">
        <v>259</v>
      </c>
      <c r="C61" s="39"/>
      <c r="D61" s="39"/>
      <c r="E61" s="39"/>
      <c r="F61" s="39"/>
      <c r="G61" s="71"/>
    </row>
    <row r="62" spans="2:7" ht="16.5" customHeight="1" x14ac:dyDescent="0.3">
      <c r="B62" s="61" t="s">
        <v>260</v>
      </c>
      <c r="C62" s="39"/>
      <c r="D62" s="39"/>
      <c r="E62" s="39"/>
      <c r="F62" s="39"/>
      <c r="G62" s="71"/>
    </row>
    <row r="63" spans="2:7" ht="16.5" customHeight="1" x14ac:dyDescent="0.3">
      <c r="B63" s="61" t="s">
        <v>261</v>
      </c>
      <c r="C63" s="39"/>
      <c r="D63" s="39"/>
      <c r="E63" s="39"/>
      <c r="F63" s="39"/>
      <c r="G63" s="71"/>
    </row>
    <row r="64" spans="2:7" ht="16.5" customHeight="1" x14ac:dyDescent="0.3">
      <c r="B64" s="61" t="s">
        <v>262</v>
      </c>
      <c r="C64" s="39"/>
      <c r="D64" s="39"/>
      <c r="E64" s="39"/>
      <c r="F64" s="39"/>
      <c r="G64" s="71"/>
    </row>
    <row r="65" spans="2:7" ht="16.5" customHeight="1" x14ac:dyDescent="0.3">
      <c r="B65" s="62" t="s">
        <v>328</v>
      </c>
      <c r="C65" s="39"/>
      <c r="D65" s="39"/>
      <c r="E65" s="39"/>
      <c r="F65" s="39"/>
      <c r="G65" s="71"/>
    </row>
    <row r="66" spans="2:7" ht="16.5" customHeight="1" x14ac:dyDescent="0.3">
      <c r="B66" s="62" t="s">
        <v>329</v>
      </c>
      <c r="C66" s="39"/>
      <c r="D66" s="39"/>
      <c r="E66" s="39"/>
      <c r="F66" s="39"/>
      <c r="G66" s="71"/>
    </row>
    <row r="67" spans="2:7" ht="16.5" customHeight="1" x14ac:dyDescent="0.3">
      <c r="B67" s="62" t="s">
        <v>330</v>
      </c>
      <c r="C67" s="39"/>
      <c r="D67" s="39"/>
      <c r="E67" s="39"/>
      <c r="F67" s="39"/>
      <c r="G67" s="71"/>
    </row>
    <row r="68" spans="2:7" ht="16.5" customHeight="1" x14ac:dyDescent="0.3">
      <c r="B68" s="62" t="s">
        <v>331</v>
      </c>
      <c r="C68" s="39"/>
      <c r="D68" s="39"/>
      <c r="E68" s="39"/>
      <c r="F68" s="39"/>
      <c r="G68" s="71"/>
    </row>
    <row r="69" spans="2:7" ht="16.5" customHeight="1" x14ac:dyDescent="0.3">
      <c r="B69" s="62" t="s">
        <v>332</v>
      </c>
      <c r="C69" s="39"/>
      <c r="D69" s="39"/>
      <c r="E69" s="39"/>
      <c r="F69" s="39"/>
      <c r="G69" s="71"/>
    </row>
    <row r="70" spans="2:7" ht="16.5" customHeight="1" x14ac:dyDescent="0.3">
      <c r="B70" s="62" t="s">
        <v>333</v>
      </c>
      <c r="C70" s="39"/>
      <c r="D70" s="39"/>
      <c r="E70" s="39"/>
      <c r="F70" s="39"/>
      <c r="G70" s="71"/>
    </row>
    <row r="71" spans="2:7" x14ac:dyDescent="0.3">
      <c r="B71" s="62" t="s">
        <v>334</v>
      </c>
      <c r="C71" s="39"/>
      <c r="D71" s="39"/>
      <c r="E71" s="39"/>
      <c r="F71" s="39"/>
      <c r="G71" s="71"/>
    </row>
    <row r="72" spans="2:7" ht="16.5" customHeight="1" x14ac:dyDescent="0.3">
      <c r="B72" s="62" t="s">
        <v>335</v>
      </c>
      <c r="C72" s="39"/>
      <c r="D72" s="39"/>
      <c r="E72" s="39"/>
      <c r="F72" s="39"/>
      <c r="G72" s="71"/>
    </row>
    <row r="73" spans="2:7" ht="16.5" customHeight="1" x14ac:dyDescent="0.3">
      <c r="B73" s="62" t="s">
        <v>336</v>
      </c>
      <c r="C73" s="39"/>
      <c r="D73" s="39"/>
      <c r="E73" s="39"/>
      <c r="F73" s="39"/>
      <c r="G73" s="71"/>
    </row>
    <row r="74" spans="2:7" ht="16.5" customHeight="1" x14ac:dyDescent="0.3">
      <c r="B74" s="62" t="s">
        <v>337</v>
      </c>
      <c r="C74" s="39"/>
      <c r="D74" s="39"/>
      <c r="E74" s="39"/>
      <c r="F74" s="39"/>
      <c r="G74" s="71"/>
    </row>
    <row r="75" spans="2:7" ht="16.5" customHeight="1" x14ac:dyDescent="0.3">
      <c r="B75" s="62" t="s">
        <v>338</v>
      </c>
      <c r="C75" s="39"/>
      <c r="D75" s="39"/>
      <c r="E75" s="39"/>
      <c r="F75" s="39"/>
      <c r="G75" s="71"/>
    </row>
    <row r="76" spans="2:7" ht="16.5" customHeight="1" x14ac:dyDescent="0.3">
      <c r="B76" s="62" t="s">
        <v>339</v>
      </c>
      <c r="C76" s="39"/>
      <c r="D76" s="39"/>
      <c r="E76" s="39"/>
      <c r="F76" s="39"/>
      <c r="G76" s="71"/>
    </row>
    <row r="77" spans="2:7" ht="16.5" customHeight="1" x14ac:dyDescent="0.3">
      <c r="B77" s="62" t="s">
        <v>340</v>
      </c>
      <c r="C77" s="39"/>
      <c r="D77" s="39"/>
      <c r="E77" s="39"/>
      <c r="F77" s="39"/>
      <c r="G77" s="71"/>
    </row>
    <row r="78" spans="2:7" ht="16.5" customHeight="1" x14ac:dyDescent="0.3">
      <c r="B78" s="62" t="s">
        <v>341</v>
      </c>
      <c r="C78" s="39"/>
      <c r="D78" s="39"/>
      <c r="E78" s="39"/>
      <c r="F78" s="39"/>
      <c r="G78" s="71"/>
    </row>
    <row r="79" spans="2:7" ht="16.5" customHeight="1" x14ac:dyDescent="0.3">
      <c r="B79" s="62" t="s">
        <v>342</v>
      </c>
      <c r="C79" s="39"/>
      <c r="D79" s="39"/>
      <c r="E79" s="39"/>
      <c r="F79" s="39"/>
      <c r="G79" s="71"/>
    </row>
    <row r="80" spans="2:7" ht="16.5" customHeight="1" x14ac:dyDescent="0.3">
      <c r="B80" s="62" t="s">
        <v>343</v>
      </c>
      <c r="C80" s="39"/>
      <c r="D80" s="39"/>
      <c r="E80" s="39"/>
      <c r="F80" s="39"/>
      <c r="G80" s="71"/>
    </row>
    <row r="81" spans="2:7" ht="16.5" customHeight="1" x14ac:dyDescent="0.3">
      <c r="B81" s="62" t="s">
        <v>344</v>
      </c>
      <c r="C81" s="39"/>
      <c r="D81" s="39"/>
      <c r="E81" s="39"/>
      <c r="F81" s="39"/>
      <c r="G81" s="71"/>
    </row>
    <row r="82" spans="2:7" ht="16.5" customHeight="1" x14ac:dyDescent="0.3">
      <c r="B82" s="62" t="s">
        <v>345</v>
      </c>
      <c r="C82" s="39"/>
      <c r="D82" s="39"/>
      <c r="E82" s="39"/>
      <c r="F82" s="39"/>
      <c r="G82" s="71"/>
    </row>
    <row r="83" spans="2:7" ht="16.5" customHeight="1" x14ac:dyDescent="0.3">
      <c r="B83" s="62" t="s">
        <v>346</v>
      </c>
      <c r="C83" s="39"/>
      <c r="D83" s="39"/>
      <c r="E83" s="39"/>
      <c r="F83" s="39"/>
      <c r="G83" s="71"/>
    </row>
    <row r="84" spans="2:7" ht="16.5" customHeight="1" x14ac:dyDescent="0.3">
      <c r="B84" s="62" t="s">
        <v>347</v>
      </c>
      <c r="C84" s="39"/>
      <c r="D84" s="39"/>
      <c r="E84" s="39"/>
      <c r="F84" s="39"/>
      <c r="G84" s="71"/>
    </row>
    <row r="85" spans="2:7" ht="16.5" customHeight="1" x14ac:dyDescent="0.3">
      <c r="B85" s="62" t="s">
        <v>348</v>
      </c>
      <c r="C85" s="39"/>
      <c r="D85" s="39"/>
      <c r="E85" s="39"/>
      <c r="F85" s="39"/>
      <c r="G85" s="71"/>
    </row>
    <row r="86" spans="2:7" ht="16.5" customHeight="1" x14ac:dyDescent="0.3">
      <c r="B86" s="62" t="s">
        <v>349</v>
      </c>
      <c r="C86" s="39"/>
      <c r="D86" s="39"/>
      <c r="E86" s="39"/>
      <c r="F86" s="39"/>
      <c r="G86" s="71"/>
    </row>
    <row r="87" spans="2:7" x14ac:dyDescent="0.3">
      <c r="B87" s="62" t="s">
        <v>350</v>
      </c>
      <c r="C87" s="39"/>
      <c r="D87" s="39"/>
      <c r="E87" s="39"/>
      <c r="F87" s="39"/>
      <c r="G87" s="71"/>
    </row>
    <row r="88" spans="2:7" ht="16.5" customHeight="1" x14ac:dyDescent="0.3">
      <c r="B88" s="62" t="s">
        <v>351</v>
      </c>
      <c r="C88" s="39"/>
      <c r="D88" s="39"/>
      <c r="E88" s="39"/>
      <c r="F88" s="39"/>
      <c r="G88" s="71"/>
    </row>
    <row r="89" spans="2:7" ht="16.5" customHeight="1" x14ac:dyDescent="0.3">
      <c r="B89" s="62" t="s">
        <v>352</v>
      </c>
      <c r="C89" s="39"/>
      <c r="D89" s="39"/>
      <c r="E89" s="39"/>
      <c r="F89" s="39"/>
      <c r="G89" s="71"/>
    </row>
    <row r="90" spans="2:7" ht="16.5" customHeight="1" x14ac:dyDescent="0.3">
      <c r="B90" s="62" t="s">
        <v>353</v>
      </c>
      <c r="C90" s="39"/>
      <c r="D90" s="39"/>
      <c r="E90" s="39"/>
      <c r="F90" s="39"/>
      <c r="G90" s="71"/>
    </row>
    <row r="91" spans="2:7" ht="16.5" customHeight="1" x14ac:dyDescent="0.3">
      <c r="B91" s="62" t="s">
        <v>354</v>
      </c>
      <c r="C91" s="39"/>
      <c r="D91" s="39"/>
      <c r="E91" s="39"/>
      <c r="F91" s="39"/>
      <c r="G91" s="71"/>
    </row>
    <row r="92" spans="2:7" ht="16.5" customHeight="1" x14ac:dyDescent="0.3">
      <c r="B92" s="62" t="s">
        <v>355</v>
      </c>
      <c r="C92" s="39"/>
      <c r="D92" s="39"/>
      <c r="E92" s="39"/>
      <c r="F92" s="39"/>
      <c r="G92" s="71"/>
    </row>
    <row r="93" spans="2:7" ht="16.5" customHeight="1" x14ac:dyDescent="0.3">
      <c r="B93" s="62" t="s">
        <v>356</v>
      </c>
      <c r="C93" s="39"/>
      <c r="D93" s="39"/>
      <c r="E93" s="39"/>
      <c r="F93" s="39"/>
      <c r="G93" s="71"/>
    </row>
    <row r="94" spans="2:7" ht="16.5" customHeight="1" x14ac:dyDescent="0.3">
      <c r="B94" s="62" t="s">
        <v>357</v>
      </c>
      <c r="C94" s="39"/>
      <c r="D94" s="39"/>
      <c r="E94" s="39"/>
      <c r="F94" s="39"/>
      <c r="G94" s="71"/>
    </row>
    <row r="95" spans="2:7" x14ac:dyDescent="0.3">
      <c r="B95" s="62" t="s">
        <v>358</v>
      </c>
      <c r="C95" s="39"/>
      <c r="D95" s="39"/>
      <c r="E95" s="39"/>
      <c r="F95" s="39"/>
      <c r="G95" s="71"/>
    </row>
    <row r="96" spans="2:7" ht="16.5" customHeight="1" x14ac:dyDescent="0.3">
      <c r="B96" s="62" t="s">
        <v>359</v>
      </c>
      <c r="C96" s="39"/>
      <c r="D96" s="39"/>
      <c r="E96" s="39"/>
      <c r="F96" s="39"/>
      <c r="G96" s="71"/>
    </row>
    <row r="97" spans="2:7" ht="16.5" customHeight="1" x14ac:dyDescent="0.3">
      <c r="B97" s="62" t="s">
        <v>360</v>
      </c>
      <c r="C97" s="39"/>
      <c r="D97" s="39"/>
      <c r="E97" s="39"/>
      <c r="F97" s="39"/>
      <c r="G97" s="71"/>
    </row>
    <row r="98" spans="2:7" x14ac:dyDescent="0.3">
      <c r="B98" s="62" t="s">
        <v>361</v>
      </c>
      <c r="C98" s="39"/>
      <c r="D98" s="39"/>
      <c r="E98" s="39"/>
      <c r="F98" s="39"/>
      <c r="G98" s="71"/>
    </row>
    <row r="99" spans="2:7" ht="16.5" customHeight="1" x14ac:dyDescent="0.3">
      <c r="B99" s="62" t="s">
        <v>362</v>
      </c>
      <c r="C99" s="39"/>
      <c r="D99" s="39"/>
      <c r="E99" s="39"/>
      <c r="F99" s="39"/>
      <c r="G99" s="71"/>
    </row>
    <row r="100" spans="2:7" ht="16.5" customHeight="1" x14ac:dyDescent="0.3">
      <c r="B100" s="169" t="s">
        <v>495</v>
      </c>
      <c r="C100" s="39"/>
      <c r="D100" s="39"/>
      <c r="E100" s="39"/>
      <c r="F100" s="39"/>
      <c r="G100" s="71"/>
    </row>
    <row r="101" spans="2:7" ht="16.5" customHeight="1" x14ac:dyDescent="0.3">
      <c r="B101" s="169" t="s">
        <v>433</v>
      </c>
      <c r="C101" s="39"/>
      <c r="D101" s="39"/>
      <c r="E101" s="39"/>
      <c r="F101" s="39"/>
      <c r="G101" s="71"/>
    </row>
    <row r="102" spans="2:7" ht="16.5" customHeight="1" x14ac:dyDescent="0.3">
      <c r="B102" s="169" t="s">
        <v>430</v>
      </c>
      <c r="C102" s="39"/>
      <c r="D102" s="39"/>
      <c r="E102" s="39"/>
      <c r="F102" s="39"/>
      <c r="G102" s="71"/>
    </row>
    <row r="103" spans="2:7" ht="16.5" customHeight="1" x14ac:dyDescent="0.3">
      <c r="B103" s="169" t="s">
        <v>493</v>
      </c>
      <c r="C103" s="39"/>
      <c r="D103" s="39"/>
      <c r="E103" s="39"/>
      <c r="F103" s="39"/>
      <c r="G103" s="71"/>
    </row>
    <row r="104" spans="2:7" ht="16.5" customHeight="1" x14ac:dyDescent="0.3">
      <c r="B104" s="169" t="s">
        <v>490</v>
      </c>
      <c r="C104" s="39"/>
      <c r="D104" s="39"/>
      <c r="E104" s="39"/>
      <c r="F104" s="39"/>
      <c r="G104" s="71"/>
    </row>
    <row r="105" spans="2:7" ht="16.5" customHeight="1" x14ac:dyDescent="0.3">
      <c r="B105" s="169" t="s">
        <v>487</v>
      </c>
      <c r="C105" s="39"/>
      <c r="D105" s="39"/>
      <c r="E105" s="39"/>
      <c r="F105" s="39"/>
      <c r="G105" s="71"/>
    </row>
    <row r="106" spans="2:7" ht="13.7" customHeight="1" x14ac:dyDescent="0.3">
      <c r="B106" s="169" t="s">
        <v>442</v>
      </c>
      <c r="C106" s="39"/>
      <c r="D106" s="39"/>
      <c r="E106" s="39"/>
      <c r="F106" s="39"/>
      <c r="G106" s="71"/>
    </row>
    <row r="107" spans="2:7" ht="16.5" customHeight="1" x14ac:dyDescent="0.3">
      <c r="B107" s="169" t="s">
        <v>439</v>
      </c>
      <c r="C107" s="39"/>
      <c r="D107" s="39"/>
      <c r="E107" s="39"/>
      <c r="F107" s="39"/>
      <c r="G107" s="71"/>
    </row>
    <row r="108" spans="2:7" ht="16.5" customHeight="1" x14ac:dyDescent="0.3">
      <c r="B108" s="169" t="s">
        <v>481</v>
      </c>
      <c r="C108" s="39"/>
      <c r="D108" s="39"/>
      <c r="E108" s="39"/>
      <c r="F108" s="39"/>
      <c r="G108" s="71"/>
    </row>
    <row r="109" spans="2:7" ht="16.5" customHeight="1" x14ac:dyDescent="0.3">
      <c r="B109" s="169" t="s">
        <v>484</v>
      </c>
      <c r="C109" s="39"/>
      <c r="D109" s="39"/>
      <c r="E109" s="39"/>
      <c r="F109" s="39"/>
      <c r="G109" s="71"/>
    </row>
    <row r="110" spans="2:7" ht="16.5" customHeight="1" x14ac:dyDescent="0.3">
      <c r="B110" s="169" t="s">
        <v>445</v>
      </c>
      <c r="C110" s="39"/>
      <c r="D110" s="39"/>
      <c r="E110" s="39"/>
      <c r="F110" s="39"/>
      <c r="G110" s="71"/>
    </row>
    <row r="111" spans="2:7" ht="16.5" customHeight="1" x14ac:dyDescent="0.3">
      <c r="B111" s="169" t="s">
        <v>448</v>
      </c>
      <c r="C111" s="39"/>
      <c r="D111" s="39"/>
      <c r="E111" s="39"/>
      <c r="F111" s="39"/>
      <c r="G111" s="71"/>
    </row>
    <row r="112" spans="2:7" ht="16.5" customHeight="1" x14ac:dyDescent="0.3">
      <c r="B112" s="169" t="s">
        <v>436</v>
      </c>
      <c r="C112" s="39"/>
      <c r="D112" s="39"/>
      <c r="E112" s="39"/>
      <c r="F112" s="39"/>
      <c r="G112" s="71"/>
    </row>
    <row r="113" spans="2:7" ht="16.5" customHeight="1" x14ac:dyDescent="0.3">
      <c r="B113" s="169" t="s">
        <v>475</v>
      </c>
      <c r="C113" s="39"/>
      <c r="D113" s="39"/>
      <c r="E113" s="39"/>
      <c r="F113" s="39"/>
      <c r="G113" s="71"/>
    </row>
    <row r="114" spans="2:7" ht="16.5" customHeight="1" x14ac:dyDescent="0.3">
      <c r="B114" s="169" t="s">
        <v>472</v>
      </c>
      <c r="C114" s="39"/>
      <c r="D114" s="39"/>
      <c r="E114" s="39"/>
      <c r="F114" s="39"/>
      <c r="G114" s="71"/>
    </row>
    <row r="115" spans="2:7" ht="16.5" customHeight="1" x14ac:dyDescent="0.3">
      <c r="B115" s="169" t="s">
        <v>469</v>
      </c>
      <c r="C115" s="39"/>
      <c r="D115" s="39"/>
      <c r="E115" s="39"/>
      <c r="F115" s="39"/>
      <c r="G115" s="71"/>
    </row>
    <row r="116" spans="2:7" ht="16.5" customHeight="1" x14ac:dyDescent="0.3">
      <c r="B116" s="169" t="s">
        <v>462</v>
      </c>
      <c r="C116" s="39"/>
      <c r="D116" s="39"/>
      <c r="E116" s="39"/>
      <c r="F116" s="39"/>
      <c r="G116" s="71"/>
    </row>
    <row r="117" spans="2:7" ht="16.5" customHeight="1" x14ac:dyDescent="0.3">
      <c r="B117" s="169" t="s">
        <v>459</v>
      </c>
      <c r="C117" s="39"/>
      <c r="D117" s="39"/>
      <c r="E117" s="39"/>
      <c r="F117" s="39"/>
      <c r="G117" s="71"/>
    </row>
    <row r="118" spans="2:7" ht="16.5" customHeight="1" x14ac:dyDescent="0.3">
      <c r="B118" s="169" t="s">
        <v>478</v>
      </c>
      <c r="C118" s="39"/>
      <c r="D118" s="39"/>
      <c r="E118" s="39"/>
      <c r="F118" s="39"/>
      <c r="G118" s="71"/>
    </row>
    <row r="119" spans="2:7" ht="16.5" customHeight="1" x14ac:dyDescent="0.3">
      <c r="B119" s="169" t="s">
        <v>466</v>
      </c>
      <c r="C119" s="39"/>
      <c r="D119" s="39"/>
      <c r="E119" s="39"/>
      <c r="F119" s="39"/>
      <c r="G119" s="71"/>
    </row>
    <row r="120" spans="2:7" ht="16.5" customHeight="1" x14ac:dyDescent="0.3">
      <c r="B120" s="169" t="s">
        <v>457</v>
      </c>
      <c r="C120" s="39"/>
      <c r="D120" s="39"/>
      <c r="E120" s="39"/>
      <c r="F120" s="39"/>
      <c r="G120" s="71"/>
    </row>
    <row r="121" spans="2:7" ht="16.5" customHeight="1" x14ac:dyDescent="0.3">
      <c r="B121" s="169" t="s">
        <v>454</v>
      </c>
      <c r="C121" s="39"/>
      <c r="D121" s="39"/>
      <c r="E121" s="39"/>
      <c r="F121" s="39"/>
      <c r="G121" s="71"/>
    </row>
    <row r="122" spans="2:7" ht="17.45" customHeight="1" x14ac:dyDescent="0.3">
      <c r="B122" s="169" t="s">
        <v>451</v>
      </c>
      <c r="C122" s="39"/>
      <c r="D122" s="39"/>
      <c r="E122" s="39"/>
      <c r="F122" s="39"/>
      <c r="G122" s="71"/>
    </row>
    <row r="123" spans="2:7" x14ac:dyDescent="0.3">
      <c r="B123" s="170" t="s">
        <v>135</v>
      </c>
      <c r="C123" s="39"/>
      <c r="D123" s="39"/>
      <c r="E123" s="39"/>
      <c r="F123" s="39"/>
      <c r="G123" s="71"/>
    </row>
    <row r="124" spans="2:7" x14ac:dyDescent="0.3">
      <c r="B124" s="170" t="s">
        <v>133</v>
      </c>
      <c r="C124" s="39"/>
      <c r="D124" s="39"/>
      <c r="E124" s="39"/>
      <c r="F124" s="39"/>
      <c r="G124" s="71"/>
    </row>
    <row r="125" spans="2:7" ht="16.5" customHeight="1" x14ac:dyDescent="0.3">
      <c r="B125" s="170" t="s">
        <v>131</v>
      </c>
      <c r="C125" s="39"/>
      <c r="D125" s="39"/>
      <c r="E125" s="39"/>
      <c r="F125" s="39"/>
      <c r="G125" s="71"/>
    </row>
    <row r="126" spans="2:7" ht="16.5" customHeight="1" x14ac:dyDescent="0.3">
      <c r="B126" s="170" t="s">
        <v>128</v>
      </c>
      <c r="C126" s="39"/>
      <c r="D126" s="39"/>
      <c r="E126" s="39"/>
      <c r="F126" s="39"/>
      <c r="G126" s="71"/>
    </row>
    <row r="127" spans="2:7" ht="16.5" customHeight="1" x14ac:dyDescent="0.3">
      <c r="B127" s="170" t="s">
        <v>126</v>
      </c>
      <c r="C127" s="39"/>
      <c r="D127" s="39"/>
      <c r="E127" s="39"/>
      <c r="F127" s="39"/>
      <c r="G127" s="71"/>
    </row>
    <row r="128" spans="2:7" ht="16.5" customHeight="1" x14ac:dyDescent="0.3">
      <c r="B128" s="170" t="s">
        <v>124</v>
      </c>
      <c r="C128" s="39"/>
      <c r="D128" s="39"/>
      <c r="E128" s="39"/>
      <c r="F128" s="39"/>
      <c r="G128" s="71"/>
    </row>
    <row r="129" spans="2:7" ht="16.5" customHeight="1" x14ac:dyDescent="0.3">
      <c r="B129" s="170" t="s">
        <v>122</v>
      </c>
      <c r="C129" s="39"/>
      <c r="D129" s="39"/>
      <c r="E129" s="39"/>
      <c r="F129" s="39"/>
      <c r="G129" s="71"/>
    </row>
    <row r="130" spans="2:7" ht="16.5" customHeight="1" x14ac:dyDescent="0.3">
      <c r="B130" s="170" t="s">
        <v>120</v>
      </c>
      <c r="C130" s="39"/>
      <c r="D130" s="39"/>
      <c r="E130" s="39"/>
      <c r="F130" s="39"/>
      <c r="G130" s="71"/>
    </row>
    <row r="131" spans="2:7" ht="16.5" customHeight="1" x14ac:dyDescent="0.3">
      <c r="B131" s="170" t="s">
        <v>119</v>
      </c>
      <c r="C131" s="39"/>
      <c r="D131" s="39"/>
      <c r="E131" s="39"/>
      <c r="F131" s="39"/>
      <c r="G131" s="71"/>
    </row>
    <row r="132" spans="2:7" ht="16.5" customHeight="1" x14ac:dyDescent="0.3">
      <c r="B132" s="170" t="s">
        <v>117</v>
      </c>
      <c r="C132" s="39"/>
      <c r="D132" s="39"/>
      <c r="E132" s="39"/>
      <c r="F132" s="39"/>
      <c r="G132" s="71"/>
    </row>
    <row r="133" spans="2:7" ht="16.5" customHeight="1" x14ac:dyDescent="0.3">
      <c r="B133" s="170" t="s">
        <v>115</v>
      </c>
      <c r="C133" s="39"/>
      <c r="D133" s="39"/>
      <c r="E133" s="39"/>
      <c r="F133" s="39"/>
      <c r="G133" s="71"/>
    </row>
    <row r="134" spans="2:7" x14ac:dyDescent="0.3">
      <c r="B134" s="170" t="s">
        <v>113</v>
      </c>
      <c r="C134" s="39"/>
      <c r="D134" s="39"/>
      <c r="E134" s="39"/>
      <c r="F134" s="39"/>
      <c r="G134" s="71"/>
    </row>
    <row r="135" spans="2:7" ht="16.5" customHeight="1" x14ac:dyDescent="0.3">
      <c r="B135" s="170" t="s">
        <v>111</v>
      </c>
      <c r="C135" s="39"/>
      <c r="D135" s="39"/>
      <c r="E135" s="39"/>
      <c r="F135" s="39"/>
      <c r="G135" s="71"/>
    </row>
    <row r="136" spans="2:7" ht="16.5" customHeight="1" x14ac:dyDescent="0.3">
      <c r="B136" s="170" t="s">
        <v>109</v>
      </c>
      <c r="C136" s="39"/>
      <c r="D136" s="39"/>
      <c r="E136" s="39"/>
      <c r="F136" s="39"/>
      <c r="G136" s="71"/>
    </row>
    <row r="137" spans="2:7" x14ac:dyDescent="0.3">
      <c r="B137" s="170" t="s">
        <v>107</v>
      </c>
      <c r="C137" s="39"/>
      <c r="D137" s="39"/>
      <c r="E137" s="39"/>
      <c r="F137" s="39"/>
      <c r="G137" s="71"/>
    </row>
    <row r="138" spans="2:7" ht="16.5" customHeight="1" x14ac:dyDescent="0.3">
      <c r="B138" s="170" t="s">
        <v>105</v>
      </c>
      <c r="C138" s="39"/>
      <c r="D138" s="39"/>
      <c r="E138" s="39"/>
      <c r="F138" s="39"/>
      <c r="G138" s="71"/>
    </row>
    <row r="139" spans="2:7" ht="16.5" customHeight="1" x14ac:dyDescent="0.3">
      <c r="B139" s="170" t="s">
        <v>103</v>
      </c>
      <c r="C139" s="39"/>
      <c r="D139" s="39"/>
      <c r="E139" s="39"/>
      <c r="F139" s="39"/>
      <c r="G139" s="71"/>
    </row>
    <row r="140" spans="2:7" ht="16.5" customHeight="1" x14ac:dyDescent="0.3">
      <c r="B140" s="170" t="s">
        <v>101</v>
      </c>
      <c r="C140" s="39"/>
      <c r="D140" s="39"/>
      <c r="E140" s="39"/>
      <c r="F140" s="39"/>
      <c r="G140" s="71"/>
    </row>
    <row r="141" spans="2:7" ht="16.5" customHeight="1" x14ac:dyDescent="0.3">
      <c r="B141" s="170" t="s">
        <v>99</v>
      </c>
      <c r="C141" s="39"/>
      <c r="D141" s="39"/>
      <c r="E141" s="39"/>
      <c r="F141" s="39"/>
      <c r="G141" s="71"/>
    </row>
    <row r="142" spans="2:7" ht="16.5" customHeight="1" x14ac:dyDescent="0.3">
      <c r="B142" s="170" t="s">
        <v>97</v>
      </c>
      <c r="C142" s="39"/>
      <c r="D142" s="39"/>
      <c r="E142" s="39"/>
      <c r="F142" s="39"/>
      <c r="G142" s="71"/>
    </row>
    <row r="143" spans="2:7" x14ac:dyDescent="0.3">
      <c r="B143" s="170" t="s">
        <v>95</v>
      </c>
      <c r="C143" s="39"/>
      <c r="D143" s="39"/>
      <c r="E143" s="39"/>
      <c r="F143" s="39"/>
      <c r="G143" s="71"/>
    </row>
    <row r="144" spans="2:7" ht="16.5" customHeight="1" x14ac:dyDescent="0.3">
      <c r="B144" s="170" t="s">
        <v>93</v>
      </c>
      <c r="C144" s="39"/>
      <c r="D144" s="39"/>
      <c r="E144" s="39"/>
      <c r="F144" s="39"/>
      <c r="G144" s="71"/>
    </row>
    <row r="145" spans="2:7" ht="16.5" customHeight="1" x14ac:dyDescent="0.3">
      <c r="B145" s="170" t="s">
        <v>91</v>
      </c>
      <c r="C145" s="39"/>
      <c r="D145" s="39"/>
      <c r="E145" s="39"/>
      <c r="F145" s="39"/>
      <c r="G145" s="71"/>
    </row>
    <row r="146" spans="2:7" ht="16.5" customHeight="1" x14ac:dyDescent="0.3">
      <c r="B146" s="170" t="s">
        <v>89</v>
      </c>
      <c r="C146" s="39"/>
      <c r="D146" s="39"/>
      <c r="E146" s="39"/>
      <c r="F146" s="39"/>
      <c r="G146" s="71"/>
    </row>
    <row r="147" spans="2:7" ht="16.5" customHeight="1" x14ac:dyDescent="0.3">
      <c r="B147" s="170" t="s">
        <v>87</v>
      </c>
      <c r="C147" s="39"/>
      <c r="D147" s="39"/>
      <c r="E147" s="39"/>
      <c r="F147" s="39"/>
      <c r="G147" s="71"/>
    </row>
    <row r="148" spans="2:7" ht="16.5" customHeight="1" x14ac:dyDescent="0.3">
      <c r="B148" s="170" t="s">
        <v>85</v>
      </c>
      <c r="C148" s="39"/>
      <c r="D148" s="39"/>
      <c r="E148" s="39"/>
      <c r="F148" s="39"/>
      <c r="G148" s="71"/>
    </row>
    <row r="149" spans="2:7" ht="16.5" customHeight="1" x14ac:dyDescent="0.3">
      <c r="B149" s="170" t="s">
        <v>83</v>
      </c>
      <c r="C149" s="39"/>
      <c r="D149" s="39"/>
      <c r="E149" s="39"/>
      <c r="F149" s="39"/>
      <c r="G149" s="71"/>
    </row>
    <row r="150" spans="2:7" ht="16.5" customHeight="1" x14ac:dyDescent="0.3">
      <c r="B150" s="170" t="s">
        <v>81</v>
      </c>
      <c r="C150" s="39"/>
      <c r="D150" s="39"/>
      <c r="E150" s="39"/>
      <c r="F150" s="39"/>
      <c r="G150" s="71"/>
    </row>
    <row r="151" spans="2:7" ht="16.5" customHeight="1" x14ac:dyDescent="0.3">
      <c r="B151" s="170" t="s">
        <v>79</v>
      </c>
      <c r="C151" s="39"/>
      <c r="D151" s="39"/>
      <c r="E151" s="39"/>
      <c r="F151" s="39"/>
      <c r="G151" s="71"/>
    </row>
    <row r="152" spans="2:7" ht="16.5" customHeight="1" x14ac:dyDescent="0.3">
      <c r="B152" s="170" t="s">
        <v>77</v>
      </c>
      <c r="C152" s="39"/>
      <c r="D152" s="39"/>
      <c r="E152" s="39"/>
      <c r="F152" s="39"/>
      <c r="G152" s="71"/>
    </row>
    <row r="153" spans="2:7" ht="16.5" customHeight="1" x14ac:dyDescent="0.3">
      <c r="B153" s="170" t="s">
        <v>75</v>
      </c>
      <c r="C153" s="39"/>
      <c r="D153" s="39"/>
      <c r="E153" s="39"/>
      <c r="F153" s="39"/>
      <c r="G153" s="71"/>
    </row>
    <row r="154" spans="2:7" ht="16.5" customHeight="1" x14ac:dyDescent="0.3">
      <c r="B154" s="170" t="s">
        <v>73</v>
      </c>
      <c r="C154" s="39"/>
      <c r="D154" s="39"/>
      <c r="E154" s="39"/>
      <c r="F154" s="39"/>
      <c r="G154" s="71"/>
    </row>
    <row r="155" spans="2:7" ht="17.45" customHeight="1" x14ac:dyDescent="0.3">
      <c r="B155" s="170" t="s">
        <v>71</v>
      </c>
      <c r="C155" s="39"/>
      <c r="D155" s="39"/>
      <c r="E155" s="39"/>
      <c r="F155" s="39"/>
      <c r="G155" s="71"/>
    </row>
    <row r="156" spans="2:7" ht="16.5" customHeight="1" x14ac:dyDescent="0.3">
      <c r="B156" s="170" t="s">
        <v>69</v>
      </c>
      <c r="C156" s="39"/>
      <c r="D156" s="39"/>
      <c r="E156" s="39"/>
      <c r="F156" s="39"/>
      <c r="G156" s="71"/>
    </row>
    <row r="157" spans="2:7" ht="16.5" customHeight="1" x14ac:dyDescent="0.3">
      <c r="B157" s="170" t="s">
        <v>67</v>
      </c>
      <c r="C157" s="39"/>
      <c r="D157" s="39"/>
      <c r="E157" s="39"/>
      <c r="F157" s="39"/>
      <c r="G157" s="71"/>
    </row>
    <row r="158" spans="2:7" ht="16.5" customHeight="1" x14ac:dyDescent="0.3">
      <c r="B158" s="170" t="s">
        <v>65</v>
      </c>
      <c r="C158" s="39"/>
      <c r="D158" s="39"/>
      <c r="E158" s="39"/>
      <c r="F158" s="39"/>
      <c r="G158" s="71"/>
    </row>
    <row r="159" spans="2:7" ht="16.5" customHeight="1" x14ac:dyDescent="0.3">
      <c r="B159" s="170" t="s">
        <v>63</v>
      </c>
      <c r="C159" s="39"/>
      <c r="D159" s="39"/>
      <c r="E159" s="39"/>
      <c r="F159" s="39"/>
      <c r="G159" s="71"/>
    </row>
    <row r="160" spans="2:7" x14ac:dyDescent="0.3">
      <c r="B160" s="170" t="s">
        <v>61</v>
      </c>
      <c r="C160" s="39"/>
      <c r="D160" s="39"/>
      <c r="E160" s="39"/>
      <c r="F160" s="39"/>
      <c r="G160" s="71"/>
    </row>
    <row r="161" spans="2:7" ht="16.5" customHeight="1" x14ac:dyDescent="0.3">
      <c r="B161" s="170" t="s">
        <v>59</v>
      </c>
      <c r="C161" s="39"/>
      <c r="D161" s="39"/>
      <c r="E161" s="39"/>
      <c r="F161" s="39"/>
      <c r="G161" s="71"/>
    </row>
    <row r="162" spans="2:7" ht="16.5" customHeight="1" x14ac:dyDescent="0.3">
      <c r="B162" s="170" t="s">
        <v>57</v>
      </c>
      <c r="C162" s="39"/>
      <c r="D162" s="39"/>
      <c r="E162" s="39"/>
      <c r="F162" s="39"/>
      <c r="G162" s="71"/>
    </row>
    <row r="163" spans="2:7" ht="16.5" customHeight="1" x14ac:dyDescent="0.3">
      <c r="B163" s="170" t="s">
        <v>55</v>
      </c>
      <c r="C163" s="39"/>
      <c r="D163" s="39"/>
      <c r="E163" s="39"/>
      <c r="F163" s="39"/>
      <c r="G163" s="71"/>
    </row>
    <row r="164" spans="2:7" ht="16.5" customHeight="1" x14ac:dyDescent="0.3">
      <c r="B164" s="170" t="s">
        <v>53</v>
      </c>
      <c r="C164" s="39"/>
      <c r="D164" s="39"/>
      <c r="E164" s="39"/>
      <c r="F164" s="39"/>
      <c r="G164" s="71"/>
    </row>
    <row r="165" spans="2:7" ht="16.5" customHeight="1" x14ac:dyDescent="0.3">
      <c r="B165" s="170" t="s">
        <v>51</v>
      </c>
      <c r="C165" s="39"/>
      <c r="D165" s="39"/>
      <c r="E165" s="39"/>
      <c r="F165" s="39"/>
      <c r="G165" s="71"/>
    </row>
    <row r="166" spans="2:7" ht="16.5" customHeight="1" x14ac:dyDescent="0.3">
      <c r="B166" s="170" t="s">
        <v>49</v>
      </c>
      <c r="C166" s="39"/>
      <c r="D166" s="39"/>
      <c r="E166" s="39"/>
      <c r="F166" s="39"/>
      <c r="G166" s="71"/>
    </row>
    <row r="167" spans="2:7" ht="16.5" customHeight="1" x14ac:dyDescent="0.3">
      <c r="B167" s="170" t="s">
        <v>47</v>
      </c>
      <c r="C167" s="39"/>
      <c r="D167" s="39"/>
      <c r="E167" s="39"/>
      <c r="F167" s="39"/>
      <c r="G167" s="71"/>
    </row>
    <row r="168" spans="2:7" ht="16.5" customHeight="1" x14ac:dyDescent="0.3">
      <c r="B168" s="170" t="s">
        <v>45</v>
      </c>
      <c r="C168" s="39"/>
      <c r="D168" s="39"/>
      <c r="E168" s="39"/>
      <c r="F168" s="39"/>
      <c r="G168" s="71"/>
    </row>
    <row r="169" spans="2:7" ht="16.5" customHeight="1" x14ac:dyDescent="0.3">
      <c r="B169" s="170" t="s">
        <v>43</v>
      </c>
      <c r="C169" s="39"/>
      <c r="D169" s="39"/>
      <c r="E169" s="39"/>
      <c r="F169" s="39"/>
      <c r="G169" s="71"/>
    </row>
    <row r="170" spans="2:7" ht="16.5" customHeight="1" x14ac:dyDescent="0.3">
      <c r="B170" s="170" t="s">
        <v>41</v>
      </c>
      <c r="C170" s="39"/>
      <c r="D170" s="39"/>
      <c r="E170" s="39"/>
      <c r="F170" s="39"/>
      <c r="G170" s="71"/>
    </row>
    <row r="171" spans="2:7" ht="16.5" customHeight="1" x14ac:dyDescent="0.3">
      <c r="B171" s="170" t="s">
        <v>39</v>
      </c>
      <c r="C171" s="39"/>
      <c r="D171" s="39"/>
      <c r="E171" s="39"/>
      <c r="F171" s="39"/>
      <c r="G171" s="71"/>
    </row>
    <row r="172" spans="2:7" x14ac:dyDescent="0.3">
      <c r="B172" s="170" t="s">
        <v>37</v>
      </c>
      <c r="C172" s="39"/>
      <c r="D172" s="39"/>
      <c r="E172" s="39"/>
      <c r="F172" s="39"/>
      <c r="G172" s="71"/>
    </row>
    <row r="173" spans="2:7" ht="16.5" customHeight="1" x14ac:dyDescent="0.3">
      <c r="B173" s="170" t="s">
        <v>35</v>
      </c>
      <c r="C173" s="39"/>
      <c r="D173" s="39"/>
      <c r="E173" s="39"/>
      <c r="F173" s="39"/>
      <c r="G173" s="71"/>
    </row>
    <row r="174" spans="2:7" ht="16.5" customHeight="1" x14ac:dyDescent="0.3">
      <c r="B174" s="170" t="s">
        <v>33</v>
      </c>
      <c r="C174" s="39"/>
      <c r="D174" s="39"/>
      <c r="E174" s="39"/>
      <c r="F174" s="39"/>
      <c r="G174" s="71"/>
    </row>
    <row r="175" spans="2:7" x14ac:dyDescent="0.3">
      <c r="B175" s="170" t="s">
        <v>31</v>
      </c>
      <c r="C175" s="39"/>
      <c r="D175" s="39"/>
      <c r="E175" s="39"/>
      <c r="F175" s="39"/>
      <c r="G175" s="71"/>
    </row>
    <row r="176" spans="2:7" ht="16.5" customHeight="1" x14ac:dyDescent="0.3">
      <c r="B176" s="170" t="s">
        <v>29</v>
      </c>
      <c r="C176" s="39"/>
      <c r="D176" s="39"/>
      <c r="E176" s="39"/>
      <c r="F176" s="39"/>
      <c r="G176" s="71"/>
    </row>
    <row r="177" spans="2:7" ht="16.5" customHeight="1" x14ac:dyDescent="0.3">
      <c r="B177" s="170" t="s">
        <v>27</v>
      </c>
      <c r="C177" s="39"/>
      <c r="D177" s="39"/>
      <c r="E177" s="39"/>
      <c r="F177" s="39"/>
      <c r="G177" s="71"/>
    </row>
    <row r="178" spans="2:7" ht="16.5" customHeight="1" x14ac:dyDescent="0.3">
      <c r="B178" s="170" t="s">
        <v>25</v>
      </c>
      <c r="C178" s="39"/>
      <c r="D178" s="39"/>
      <c r="E178" s="39"/>
      <c r="F178" s="39"/>
      <c r="G178" s="71"/>
    </row>
    <row r="179" spans="2:7" ht="16.5" customHeight="1" x14ac:dyDescent="0.3">
      <c r="B179" s="170" t="s">
        <v>23</v>
      </c>
      <c r="C179" s="39"/>
      <c r="D179" s="39"/>
      <c r="E179" s="39"/>
      <c r="F179" s="39"/>
      <c r="G179" s="71"/>
    </row>
    <row r="180" spans="2:7" ht="16.5" customHeight="1" x14ac:dyDescent="0.3">
      <c r="B180" s="170" t="s">
        <v>21</v>
      </c>
      <c r="C180" s="39"/>
      <c r="D180" s="39"/>
      <c r="E180" s="39"/>
      <c r="F180" s="39"/>
      <c r="G180" s="71"/>
    </row>
    <row r="181" spans="2:7" ht="16.5" customHeight="1" x14ac:dyDescent="0.3">
      <c r="B181" s="170" t="s">
        <v>497</v>
      </c>
      <c r="C181" s="39"/>
      <c r="D181" s="39"/>
      <c r="E181" s="39"/>
      <c r="F181" s="39"/>
      <c r="G181" s="71"/>
    </row>
    <row r="182" spans="2:7" ht="16.5" customHeight="1" x14ac:dyDescent="0.3">
      <c r="B182" s="170" t="s">
        <v>17</v>
      </c>
      <c r="C182" s="39"/>
      <c r="D182" s="39"/>
      <c r="E182" s="39"/>
      <c r="F182" s="39"/>
      <c r="G182" s="71"/>
    </row>
    <row r="183" spans="2:7" ht="16.5" customHeight="1" x14ac:dyDescent="0.3">
      <c r="B183" s="170" t="s">
        <v>15</v>
      </c>
      <c r="C183" s="39"/>
      <c r="D183" s="39"/>
      <c r="E183" s="39"/>
      <c r="F183" s="39"/>
      <c r="G183" s="71"/>
    </row>
    <row r="184" spans="2:7" x14ac:dyDescent="0.3">
      <c r="C184" s="40"/>
      <c r="D184" s="36"/>
      <c r="E184"/>
    </row>
    <row r="185" spans="2:7" x14ac:dyDescent="0.3">
      <c r="C185" s="40"/>
      <c r="D185" s="40"/>
      <c r="E185" s="40"/>
    </row>
    <row r="186" spans="2:7" x14ac:dyDescent="0.3">
      <c r="C186" s="40"/>
      <c r="D186" s="40"/>
      <c r="E186" s="40"/>
    </row>
    <row r="187" spans="2:7" x14ac:dyDescent="0.3">
      <c r="C187" s="40"/>
      <c r="D187" s="40"/>
      <c r="E187" s="40"/>
    </row>
    <row r="188" spans="2:7" x14ac:dyDescent="0.3">
      <c r="C188" s="40"/>
      <c r="D188" s="40"/>
      <c r="E188" s="40"/>
    </row>
    <row r="189" spans="2:7" x14ac:dyDescent="0.3">
      <c r="C189" s="40"/>
      <c r="D189" s="40"/>
      <c r="E189" s="40"/>
    </row>
    <row r="190" spans="2:7" x14ac:dyDescent="0.3">
      <c r="C190" s="40"/>
      <c r="D190" s="40"/>
      <c r="E190" s="40"/>
    </row>
    <row r="191" spans="2:7" x14ac:dyDescent="0.3">
      <c r="C191" s="40"/>
      <c r="D191" s="40"/>
    </row>
    <row r="192" spans="2:7" x14ac:dyDescent="0.3">
      <c r="C192" s="40"/>
      <c r="D192" s="40"/>
      <c r="E192" s="40"/>
    </row>
    <row r="193" spans="3:5" x14ac:dyDescent="0.3">
      <c r="C193" s="40"/>
      <c r="D193" s="40"/>
      <c r="E193" s="40"/>
    </row>
    <row r="194" spans="3:5" x14ac:dyDescent="0.3">
      <c r="C194" s="40"/>
      <c r="D194" s="40"/>
      <c r="E194" s="40"/>
    </row>
    <row r="195" spans="3:5" x14ac:dyDescent="0.3">
      <c r="C195" s="40"/>
      <c r="D195" s="40"/>
      <c r="E195" s="40"/>
    </row>
    <row r="196" spans="3:5" x14ac:dyDescent="0.3">
      <c r="C196" s="40"/>
      <c r="D196" s="40"/>
      <c r="E196" s="40"/>
    </row>
    <row r="197" spans="3:5" x14ac:dyDescent="0.3">
      <c r="C197" s="40"/>
      <c r="D197" s="40"/>
      <c r="E197" s="40"/>
    </row>
    <row r="198" spans="3:5" x14ac:dyDescent="0.3">
      <c r="C198" s="40"/>
      <c r="D198" s="40"/>
      <c r="E198" s="40"/>
    </row>
    <row r="199" spans="3:5" x14ac:dyDescent="0.3">
      <c r="C199" s="40"/>
      <c r="D199" s="40"/>
      <c r="E199" s="40"/>
    </row>
    <row r="200" spans="3:5" x14ac:dyDescent="0.3">
      <c r="C200" s="40"/>
      <c r="D200" s="40"/>
      <c r="E200" s="40"/>
    </row>
    <row r="201" spans="3:5" x14ac:dyDescent="0.3">
      <c r="C201" s="40"/>
      <c r="D201" s="40"/>
      <c r="E201" s="40"/>
    </row>
    <row r="202" spans="3:5" x14ac:dyDescent="0.3">
      <c r="C202" s="40"/>
      <c r="D202" s="40"/>
      <c r="E202" s="40"/>
    </row>
    <row r="203" spans="3:5" x14ac:dyDescent="0.3">
      <c r="C203" s="40"/>
      <c r="D203" s="40"/>
      <c r="E203" s="40"/>
    </row>
    <row r="204" spans="3:5" x14ac:dyDescent="0.3">
      <c r="C204" s="40"/>
      <c r="D204" s="40"/>
      <c r="E204" s="40"/>
    </row>
    <row r="205" spans="3:5" x14ac:dyDescent="0.3">
      <c r="C205" s="40"/>
      <c r="D205" s="40"/>
      <c r="E205" s="40"/>
    </row>
    <row r="206" spans="3:5" x14ac:dyDescent="0.3">
      <c r="C206" s="40"/>
      <c r="D206" s="40"/>
      <c r="E206" s="40"/>
    </row>
    <row r="207" spans="3:5" x14ac:dyDescent="0.3">
      <c r="C207" s="40"/>
      <c r="D207" s="40"/>
      <c r="E207" s="40"/>
    </row>
    <row r="208" spans="3:5" x14ac:dyDescent="0.3">
      <c r="C208" s="40"/>
      <c r="D208" s="40"/>
      <c r="E208" s="40"/>
    </row>
    <row r="209" spans="3:5" x14ac:dyDescent="0.3">
      <c r="C209" s="40"/>
      <c r="D209" s="40"/>
      <c r="E209" s="40"/>
    </row>
    <row r="210" spans="3:5" x14ac:dyDescent="0.3">
      <c r="C210" s="40"/>
      <c r="D210" s="40"/>
      <c r="E210" s="40"/>
    </row>
    <row r="211" spans="3:5" x14ac:dyDescent="0.3">
      <c r="C211" s="40"/>
      <c r="D211" s="40"/>
      <c r="E211" s="40"/>
    </row>
    <row r="212" spans="3:5" x14ac:dyDescent="0.3">
      <c r="C212" s="40"/>
      <c r="D212" s="40"/>
      <c r="E212" s="40"/>
    </row>
    <row r="213" spans="3:5" x14ac:dyDescent="0.3">
      <c r="C213" s="40"/>
      <c r="D213" s="40"/>
      <c r="E213" s="40"/>
    </row>
    <row r="214" spans="3:5" x14ac:dyDescent="0.3">
      <c r="C214" s="40"/>
      <c r="D214" s="40"/>
      <c r="E214" s="40"/>
    </row>
    <row r="215" spans="3:5" x14ac:dyDescent="0.3">
      <c r="C215" s="40"/>
      <c r="D215" s="40"/>
      <c r="E215" s="40"/>
    </row>
    <row r="216" spans="3:5" x14ac:dyDescent="0.3">
      <c r="C216" s="40"/>
      <c r="D216" s="40"/>
      <c r="E216" s="40"/>
    </row>
    <row r="217" spans="3:5" x14ac:dyDescent="0.3">
      <c r="C217" s="40"/>
      <c r="D217" s="40"/>
      <c r="E217" s="40"/>
    </row>
    <row r="218" spans="3:5" x14ac:dyDescent="0.3">
      <c r="C218" s="40"/>
      <c r="D218" s="40"/>
      <c r="E218" s="40"/>
    </row>
    <row r="219" spans="3:5" x14ac:dyDescent="0.3">
      <c r="C219" s="40"/>
      <c r="D219" s="40"/>
      <c r="E219" s="40"/>
    </row>
    <row r="220" spans="3:5" x14ac:dyDescent="0.3">
      <c r="C220" s="40"/>
      <c r="D220" s="40"/>
      <c r="E220" s="40"/>
    </row>
    <row r="221" spans="3:5" x14ac:dyDescent="0.3">
      <c r="C221" s="37"/>
      <c r="D221" s="40"/>
      <c r="E221" s="40"/>
    </row>
    <row r="222" spans="3:5" x14ac:dyDescent="0.3">
      <c r="C222" s="37"/>
      <c r="D222" s="37"/>
      <c r="E222" s="37"/>
    </row>
    <row r="223" spans="3:5" x14ac:dyDescent="0.3">
      <c r="C223" s="37"/>
      <c r="D223" s="37"/>
      <c r="E223" s="37"/>
    </row>
    <row r="224" spans="3:5" x14ac:dyDescent="0.3">
      <c r="C224" s="37"/>
      <c r="D224" s="37"/>
      <c r="E224" s="37"/>
    </row>
    <row r="225" spans="3:5" x14ac:dyDescent="0.3">
      <c r="C225" s="37"/>
      <c r="D225" s="37"/>
      <c r="E225" s="37"/>
    </row>
    <row r="226" spans="3:5" x14ac:dyDescent="0.3">
      <c r="C226" s="37"/>
      <c r="D226" s="37"/>
      <c r="E226" s="37"/>
    </row>
    <row r="227" spans="3:5" x14ac:dyDescent="0.3">
      <c r="C227" s="37"/>
      <c r="D227" s="37"/>
      <c r="E227" s="37"/>
    </row>
    <row r="228" spans="3:5" x14ac:dyDescent="0.3">
      <c r="C228" s="37"/>
      <c r="D228" s="37"/>
      <c r="E228" s="37"/>
    </row>
    <row r="229" spans="3:5" x14ac:dyDescent="0.3">
      <c r="C229" s="37"/>
      <c r="D229" s="37"/>
      <c r="E229" s="37"/>
    </row>
    <row r="230" spans="3:5" x14ac:dyDescent="0.3">
      <c r="C230" s="37"/>
      <c r="D230" s="37"/>
      <c r="E230" s="37"/>
    </row>
    <row r="231" spans="3:5" x14ac:dyDescent="0.3">
      <c r="C231" s="37"/>
      <c r="D231" s="37"/>
      <c r="E231" s="37"/>
    </row>
    <row r="232" spans="3:5" x14ac:dyDescent="0.3">
      <c r="C232" s="37"/>
      <c r="D232" s="37"/>
      <c r="E232" s="37"/>
    </row>
    <row r="233" spans="3:5" x14ac:dyDescent="0.3">
      <c r="C233" s="37"/>
      <c r="D233" s="37"/>
      <c r="E233" s="37"/>
    </row>
    <row r="234" spans="3:5" x14ac:dyDescent="0.3">
      <c r="C234" s="37"/>
      <c r="D234" s="37"/>
      <c r="E234" s="37"/>
    </row>
    <row r="235" spans="3:5" x14ac:dyDescent="0.3">
      <c r="C235" s="37"/>
      <c r="D235" s="37"/>
      <c r="E235" s="37"/>
    </row>
    <row r="236" spans="3:5" x14ac:dyDescent="0.3">
      <c r="C236" s="37"/>
      <c r="D236" s="37"/>
      <c r="E236" s="37"/>
    </row>
    <row r="237" spans="3:5" x14ac:dyDescent="0.3">
      <c r="C237" s="37"/>
      <c r="D237" s="37"/>
      <c r="E237" s="37"/>
    </row>
    <row r="238" spans="3:5" x14ac:dyDescent="0.3">
      <c r="C238" s="37"/>
      <c r="D238" s="37"/>
      <c r="E238" s="37"/>
    </row>
    <row r="239" spans="3:5" x14ac:dyDescent="0.3">
      <c r="C239" s="37"/>
      <c r="D239" s="37"/>
      <c r="E239" s="37"/>
    </row>
    <row r="240" spans="3:5" x14ac:dyDescent="0.3">
      <c r="C240" s="37"/>
      <c r="D240" s="37"/>
      <c r="E240" s="37"/>
    </row>
    <row r="241" spans="3:5" x14ac:dyDescent="0.3">
      <c r="C241" s="37"/>
      <c r="D241" s="37"/>
      <c r="E241" s="37"/>
    </row>
    <row r="242" spans="3:5" x14ac:dyDescent="0.3">
      <c r="C242" s="37"/>
      <c r="D242" s="37"/>
      <c r="E242" s="37"/>
    </row>
    <row r="243" spans="3:5" x14ac:dyDescent="0.3">
      <c r="C243" s="37"/>
      <c r="D243" s="37"/>
      <c r="E243" s="37"/>
    </row>
    <row r="244" spans="3:5" x14ac:dyDescent="0.3">
      <c r="C244" s="37"/>
      <c r="D244" s="37"/>
      <c r="E244" s="37"/>
    </row>
    <row r="245" spans="3:5" x14ac:dyDescent="0.3">
      <c r="C245" s="41"/>
      <c r="D245" s="37"/>
      <c r="E245" s="37"/>
    </row>
    <row r="246" spans="3:5" x14ac:dyDescent="0.3">
      <c r="C246" s="41"/>
      <c r="D246" s="41"/>
      <c r="E246" s="41"/>
    </row>
    <row r="247" spans="3:5" x14ac:dyDescent="0.3">
      <c r="D247" s="41"/>
      <c r="E247" s="41"/>
    </row>
  </sheetData>
  <phoneticPr fontId="6" type="noConversion"/>
  <conditionalFormatting sqref="D230:D231 D1:D2 D233:D234 D246:D65384">
    <cfRule type="duplicateValues" dxfId="978" priority="32"/>
  </conditionalFormatting>
  <conditionalFormatting sqref="D235:D245">
    <cfRule type="duplicateValues" dxfId="977" priority="31"/>
  </conditionalFormatting>
  <conditionalFormatting sqref="D184:D1048576 D1:D2">
    <cfRule type="duplicateValues" dxfId="976" priority="30"/>
  </conditionalFormatting>
  <conditionalFormatting sqref="D184:D1048576 D1:D2">
    <cfRule type="duplicateValues" dxfId="975" priority="29"/>
  </conditionalFormatting>
  <conditionalFormatting sqref="D1:D2">
    <cfRule type="duplicateValues" dxfId="974" priority="28"/>
  </conditionalFormatting>
  <conditionalFormatting sqref="D1:D2">
    <cfRule type="duplicateValues" dxfId="973" priority="27"/>
  </conditionalFormatting>
  <conditionalFormatting sqref="D1:D2">
    <cfRule type="duplicateValues" dxfId="972" priority="26"/>
  </conditionalFormatting>
  <conditionalFormatting sqref="D1:D2">
    <cfRule type="duplicateValues" dxfId="971" priority="2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G55"/>
  <sheetViews>
    <sheetView showGridLines="0" topLeftCell="D1" zoomScale="85" zoomScaleNormal="85" workbookViewId="0">
      <selection activeCell="N61" sqref="N61"/>
    </sheetView>
  </sheetViews>
  <sheetFormatPr defaultRowHeight="16.5" x14ac:dyDescent="0.3"/>
  <cols>
    <col min="1" max="1" width="12.5" customWidth="1"/>
    <col min="13" max="13" width="9" style="36"/>
    <col min="17" max="17" width="12.625" customWidth="1"/>
    <col min="20" max="20" width="9" style="36"/>
    <col min="35" max="35" width="23.125" bestFit="1" customWidth="1"/>
  </cols>
  <sheetData>
    <row r="2" spans="2:32" ht="22.5" x14ac:dyDescent="0.3">
      <c r="B2" s="479" t="s">
        <v>263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79"/>
      <c r="AC2" s="479"/>
      <c r="AD2" s="479"/>
      <c r="AE2" s="479"/>
      <c r="AF2" s="479"/>
    </row>
    <row r="3" spans="2:32" ht="17.25" thickBo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2:32" ht="17.25" thickBot="1" x14ac:dyDescent="0.35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5"/>
      <c r="Q4" s="5"/>
      <c r="R4" s="5"/>
      <c r="S4" s="5"/>
      <c r="T4" s="5"/>
      <c r="U4" s="480"/>
      <c r="V4" s="5"/>
      <c r="W4" s="5"/>
      <c r="X4" s="5"/>
      <c r="Y4" s="5"/>
      <c r="Z4" s="5"/>
      <c r="AA4" s="5"/>
      <c r="AB4" s="5"/>
      <c r="AC4" s="5"/>
      <c r="AD4" s="5"/>
      <c r="AE4" s="5"/>
      <c r="AF4" s="6"/>
    </row>
    <row r="5" spans="2:32" ht="17.25" thickBot="1" x14ac:dyDescent="0.35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76"/>
      <c r="N5" s="76"/>
      <c r="O5" s="5"/>
      <c r="P5" s="5"/>
      <c r="Q5" s="5"/>
      <c r="R5" s="5"/>
      <c r="S5" s="5"/>
      <c r="T5" s="6"/>
      <c r="U5" s="481"/>
      <c r="V5" s="8"/>
      <c r="W5" s="9"/>
      <c r="X5" s="9"/>
      <c r="Y5" s="9"/>
      <c r="Z5" s="9"/>
      <c r="AA5" s="9"/>
      <c r="AB5" s="9"/>
      <c r="AC5" s="9"/>
      <c r="AD5" s="9"/>
      <c r="AE5" s="9"/>
      <c r="AF5" s="10"/>
    </row>
    <row r="6" spans="2:32" x14ac:dyDescent="0.3">
      <c r="B6" s="53" t="s">
        <v>372</v>
      </c>
      <c r="C6" s="53" t="s">
        <v>373</v>
      </c>
      <c r="D6" s="53" t="s">
        <v>374</v>
      </c>
      <c r="E6" s="53" t="s">
        <v>375</v>
      </c>
      <c r="F6" s="53" t="s">
        <v>376</v>
      </c>
      <c r="G6" s="12"/>
      <c r="H6" s="53" t="s">
        <v>377</v>
      </c>
      <c r="I6" s="53" t="s">
        <v>378</v>
      </c>
      <c r="J6" s="53" t="s">
        <v>379</v>
      </c>
      <c r="K6" s="53" t="s">
        <v>380</v>
      </c>
      <c r="L6" s="53" t="s">
        <v>381</v>
      </c>
      <c r="M6" s="78"/>
      <c r="N6" s="78"/>
      <c r="O6" s="53" t="s">
        <v>418</v>
      </c>
      <c r="P6" s="53" t="s">
        <v>419</v>
      </c>
      <c r="Q6" s="53" t="s">
        <v>420</v>
      </c>
      <c r="R6" s="53" t="s">
        <v>421</v>
      </c>
      <c r="S6" s="53" t="s">
        <v>422</v>
      </c>
      <c r="T6" s="75"/>
      <c r="U6" s="481"/>
      <c r="V6" s="54" t="s">
        <v>452</v>
      </c>
      <c r="W6" s="54" t="s">
        <v>453</v>
      </c>
      <c r="X6" s="54" t="s">
        <v>455</v>
      </c>
      <c r="Y6" s="54" t="s">
        <v>456</v>
      </c>
      <c r="Z6" s="54" t="s">
        <v>458</v>
      </c>
      <c r="AB6" s="54" t="s">
        <v>465</v>
      </c>
      <c r="AC6" s="54" t="s">
        <v>467</v>
      </c>
      <c r="AD6" s="54" t="s">
        <v>468</v>
      </c>
      <c r="AE6" s="54" t="s">
        <v>479</v>
      </c>
      <c r="AF6" s="54" t="s">
        <v>477</v>
      </c>
    </row>
    <row r="7" spans="2:32" ht="17.25" thickBot="1" x14ac:dyDescent="0.35">
      <c r="B7" s="73" t="str">
        <f>IFERROR(VLOOKUP(B6,'자율관 배정'!$B:$G,3,FALSE)&amp;"("&amp;VLOOKUP(B6,'자율관 배정'!$B:$F,2,FALSE)&amp;")","")</f>
        <v>()</v>
      </c>
      <c r="C7" s="73" t="str">
        <f>IFERROR(VLOOKUP(C6,'자율관 배정'!$B:$G,3,FALSE)&amp;"("&amp;VLOOKUP(C6,'자율관 배정'!$B:$F,2,FALSE)&amp;")","")</f>
        <v/>
      </c>
      <c r="D7" s="73" t="str">
        <f>IFERROR(VLOOKUP(D6,'자율관 배정'!$B:$G,3,FALSE)&amp;"("&amp;VLOOKUP(D6,'자율관 배정'!$B:$F,2,FALSE)&amp;")","")</f>
        <v>()</v>
      </c>
      <c r="E7" s="73" t="str">
        <f>IFERROR(VLOOKUP(E6,'자율관 배정'!$B:$G,3,FALSE)&amp;"("&amp;VLOOKUP(E6,'자율관 배정'!$B:$F,2,FALSE)&amp;")","")</f>
        <v/>
      </c>
      <c r="F7" s="73" t="str">
        <f>IFERROR(VLOOKUP(F6,'자율관 배정'!$B:$G,3,FALSE)&amp;"("&amp;VLOOKUP(F6,'자율관 배정'!$B:$F,2,FALSE)&amp;")","")</f>
        <v>()</v>
      </c>
      <c r="G7" s="78"/>
      <c r="H7" s="73" t="str">
        <f>IFERROR(VLOOKUP(H6,'자율관 배정'!$B:$G,3,FALSE)&amp;"("&amp;VLOOKUP(H6,'자율관 배정'!$B:$F,2,FALSE)&amp;")","")</f>
        <v/>
      </c>
      <c r="I7" s="73" t="str">
        <f>IFERROR(VLOOKUP(I6,'자율관 배정'!$B:$G,3,FALSE)&amp;"("&amp;VLOOKUP(I6,'자율관 배정'!$B:$F,2,FALSE)&amp;")","")</f>
        <v>()</v>
      </c>
      <c r="J7" s="73" t="str">
        <f>IFERROR(VLOOKUP(J6,'자율관 배정'!$B:$G,3,FALSE)&amp;"("&amp;VLOOKUP(J6,'자율관 배정'!$B:$F,2,FALSE)&amp;")","")</f>
        <v/>
      </c>
      <c r="K7" s="73" t="str">
        <f>IFERROR(VLOOKUP(K6,'자율관 배정'!$B:$G,3,FALSE)&amp;"("&amp;VLOOKUP(K6,'자율관 배정'!$B:$F,2,FALSE)&amp;")","")</f>
        <v>()</v>
      </c>
      <c r="L7" s="73" t="str">
        <f>IFERROR(VLOOKUP(L6,'자율관 배정'!$B:$G,3,FALSE)&amp;"("&amp;VLOOKUP(L6,'자율관 배정'!$B:$F,2,FALSE)&amp;")","")</f>
        <v/>
      </c>
      <c r="M7" s="78"/>
      <c r="N7" s="78"/>
      <c r="O7" s="73" t="str">
        <f>IFERROR(VLOOKUP(O6,'자율관 배정'!$B:$G,3,FALSE)&amp;"("&amp;VLOOKUP(O6,'자율관 배정'!$B:$F,2,FALSE)&amp;")","")</f>
        <v>()</v>
      </c>
      <c r="P7" s="73" t="str">
        <f>IFERROR(VLOOKUP(P6,'자율관 배정'!$B:$G,3,FALSE)&amp;"("&amp;VLOOKUP(P6,'자율관 배정'!$B:$F,2,FALSE)&amp;")","")</f>
        <v/>
      </c>
      <c r="Q7" s="73" t="str">
        <f>IFERROR(VLOOKUP(Q6,'자율관 배정'!$B:$G,3,FALSE)&amp;"("&amp;VLOOKUP(Q6,'자율관 배정'!$B:$F,2,FALSE)&amp;")","")</f>
        <v>()</v>
      </c>
      <c r="R7" s="73" t="str">
        <f>IFERROR(VLOOKUP(R6,'자율관 배정'!$B:$G,3,FALSE)&amp;"("&amp;VLOOKUP(R6,'자율관 배정'!$B:$F,2,FALSE)&amp;")","")</f>
        <v/>
      </c>
      <c r="S7" s="73" t="str">
        <f>IFERROR(VLOOKUP(S6,'자율관 배정'!$B:$G,3,FALSE)&amp;"("&amp;VLOOKUP(S6,'자율관 배정'!$B:$F,2,FALSE)&amp;")","")</f>
        <v>()</v>
      </c>
      <c r="T7" s="83"/>
      <c r="U7" s="481"/>
      <c r="V7" s="73" t="str">
        <f>IFERROR(VLOOKUP(V6,'자율관 배정'!$B:$G,3,FALSE)&amp;"("&amp;VLOOKUP(V6,'자율관 배정'!$B:$F,2,FALSE)&amp;")","")</f>
        <v>()</v>
      </c>
      <c r="W7" s="73" t="str">
        <f>IFERROR(VLOOKUP(W6,'자율관 배정'!$B:$G,3,FALSE)&amp;"("&amp;VLOOKUP(W6,'자율관 배정'!$B:$F,2,FALSE)&amp;")","")</f>
        <v/>
      </c>
      <c r="X7" s="73" t="str">
        <f>IFERROR(VLOOKUP(X6,'자율관 배정'!$B:$G,3,FALSE)&amp;"("&amp;VLOOKUP(X6,'자율관 배정'!$B:$F,2,FALSE)&amp;")","")</f>
        <v>()</v>
      </c>
      <c r="Y7" s="73" t="str">
        <f>IFERROR(VLOOKUP(Y6,'자율관 배정'!$B:$G,3,FALSE)&amp;"("&amp;VLOOKUP(Y6,'자율관 배정'!$B:$F,2,FALSE)&amp;")","")</f>
        <v/>
      </c>
      <c r="Z7" s="73" t="str">
        <f>IFERROR(VLOOKUP(Z6,'자율관 배정'!$B:$G,3,FALSE)&amp;"("&amp;VLOOKUP(Z6,'자율관 배정'!$B:$F,2,FALSE)&amp;")","")</f>
        <v>()</v>
      </c>
      <c r="AA7" s="74"/>
      <c r="AB7" s="73" t="str">
        <f>IFERROR(VLOOKUP(AB6,'자율관 배정'!$B:$G,3,FALSE)&amp;"("&amp;VLOOKUP(AB6,'자율관 배정'!$B:$F,2,FALSE)&amp;")","")</f>
        <v/>
      </c>
      <c r="AC7" s="73" t="str">
        <f>IFERROR(VLOOKUP(AC6,'자율관 배정'!$B:$G,3,FALSE)&amp;"("&amp;VLOOKUP(AC6,'자율관 배정'!$B:$F,2,FALSE)&amp;")","")</f>
        <v>()</v>
      </c>
      <c r="AD7" s="73" t="str">
        <f>IFERROR(VLOOKUP(AD6,'자율관 배정'!$B:$G,3,FALSE)&amp;"("&amp;VLOOKUP(AD6,'자율관 배정'!$B:$F,2,FALSE)&amp;")","")</f>
        <v/>
      </c>
      <c r="AE7" s="73" t="str">
        <f>IFERROR(VLOOKUP(AE6,'자율관 배정'!$B:$G,3,FALSE)&amp;"("&amp;VLOOKUP(AE6,'자율관 배정'!$B:$F,2,FALSE)&amp;")","")</f>
        <v>()</v>
      </c>
      <c r="AF7" s="73" t="str">
        <f>IFERROR(VLOOKUP(AF6,'자율관 배정'!$B:$G,3,FALSE)&amp;"("&amp;VLOOKUP(AF6,'자율관 배정'!$B:$F,2,FALSE)&amp;")","")</f>
        <v/>
      </c>
    </row>
    <row r="8" spans="2:32" x14ac:dyDescent="0.3">
      <c r="B8" s="53" t="s">
        <v>397</v>
      </c>
      <c r="C8" s="53" t="s">
        <v>398</v>
      </c>
      <c r="D8" s="53" t="s">
        <v>399</v>
      </c>
      <c r="E8" s="53" t="s">
        <v>400</v>
      </c>
      <c r="F8" s="53" t="s">
        <v>401</v>
      </c>
      <c r="G8" s="78"/>
      <c r="H8" s="53" t="s">
        <v>386</v>
      </c>
      <c r="I8" s="53" t="s">
        <v>385</v>
      </c>
      <c r="J8" s="53" t="s">
        <v>384</v>
      </c>
      <c r="K8" s="53" t="s">
        <v>383</v>
      </c>
      <c r="L8" s="53" t="s">
        <v>382</v>
      </c>
      <c r="M8" s="78"/>
      <c r="N8" s="78"/>
      <c r="O8" s="53" t="s">
        <v>423</v>
      </c>
      <c r="P8" s="53" t="s">
        <v>424</v>
      </c>
      <c r="Q8" s="53" t="s">
        <v>425</v>
      </c>
      <c r="R8" s="53" t="s">
        <v>426</v>
      </c>
      <c r="S8" s="53" t="s">
        <v>427</v>
      </c>
      <c r="T8" s="75"/>
      <c r="U8" s="481"/>
      <c r="V8" s="54" t="s">
        <v>450</v>
      </c>
      <c r="W8" s="54" t="s">
        <v>460</v>
      </c>
      <c r="X8" s="54" t="s">
        <v>461</v>
      </c>
      <c r="Y8" s="54" t="s">
        <v>463</v>
      </c>
      <c r="Z8" s="54" t="s">
        <v>464</v>
      </c>
      <c r="AB8" s="54" t="s">
        <v>470</v>
      </c>
      <c r="AC8" s="54" t="s">
        <v>471</v>
      </c>
      <c r="AD8" s="54" t="s">
        <v>473</v>
      </c>
      <c r="AE8" s="54" t="s">
        <v>474</v>
      </c>
      <c r="AF8" s="54" t="s">
        <v>476</v>
      </c>
    </row>
    <row r="9" spans="2:32" ht="17.25" thickBot="1" x14ac:dyDescent="0.35">
      <c r="B9" s="73" t="str">
        <f>IFERROR(VLOOKUP(B8,'자율관 배정'!$B:$G,3,FALSE)&amp;"("&amp;VLOOKUP(B8,'자율관 배정'!$B:$F,2,FALSE)&amp;")","")</f>
        <v/>
      </c>
      <c r="C9" s="73" t="str">
        <f>IFERROR(VLOOKUP(C8,'자율관 배정'!$B:$G,3,FALSE)&amp;"("&amp;VLOOKUP(C8,'자율관 배정'!$B:$F,2,FALSE)&amp;")","")</f>
        <v>()</v>
      </c>
      <c r="D9" s="73" t="str">
        <f>IFERROR(VLOOKUP(D8,'자율관 배정'!$B:$G,3,FALSE)&amp;"("&amp;VLOOKUP(D8,'자율관 배정'!$B:$F,2,FALSE)&amp;")","")</f>
        <v/>
      </c>
      <c r="E9" s="73" t="str">
        <f>IFERROR(VLOOKUP(E8,'자율관 배정'!$B:$G,3,FALSE)&amp;"("&amp;VLOOKUP(E8,'자율관 배정'!$B:$F,2,FALSE)&amp;")","")</f>
        <v>()</v>
      </c>
      <c r="F9" s="73" t="str">
        <f>IFERROR(VLOOKUP(F8,'자율관 배정'!$B:$G,3,FALSE)&amp;"("&amp;VLOOKUP(F8,'자율관 배정'!$B:$F,2,FALSE)&amp;")","")</f>
        <v/>
      </c>
      <c r="G9" s="78"/>
      <c r="H9" s="73" t="str">
        <f>IFERROR(VLOOKUP(H8,'자율관 배정'!$B:$G,3,FALSE)&amp;"("&amp;VLOOKUP(H8,'자율관 배정'!$B:$F,2,FALSE)&amp;")","")</f>
        <v>()</v>
      </c>
      <c r="I9" s="73" t="str">
        <f>IFERROR(VLOOKUP(I8,'자율관 배정'!$B:$G,3,FALSE)&amp;"("&amp;VLOOKUP(I8,'자율관 배정'!$B:$F,2,FALSE)&amp;")","")</f>
        <v/>
      </c>
      <c r="J9" s="73" t="str">
        <f>IFERROR(VLOOKUP(J8,'자율관 배정'!$B:$G,3,FALSE)&amp;"("&amp;VLOOKUP(J8,'자율관 배정'!$B:$F,2,FALSE)&amp;")","")</f>
        <v>()</v>
      </c>
      <c r="K9" s="73" t="str">
        <f>IFERROR(VLOOKUP(K8,'자율관 배정'!$B:$G,3,FALSE)&amp;"("&amp;VLOOKUP(K8,'자율관 배정'!$B:$F,2,FALSE)&amp;")","")</f>
        <v/>
      </c>
      <c r="L9" s="73" t="str">
        <f>IFERROR(VLOOKUP(L8,'자율관 배정'!$B:$G,3,FALSE)&amp;"("&amp;VLOOKUP(L8,'자율관 배정'!$B:$F,2,FALSE)&amp;")","")</f>
        <v>()</v>
      </c>
      <c r="M9" s="78"/>
      <c r="N9" s="78"/>
      <c r="O9" s="73" t="str">
        <f>IFERROR(VLOOKUP(O8,'자율관 배정'!$B:$G,3,FALSE)&amp;"("&amp;VLOOKUP(O8,'자율관 배정'!$B:$F,2,FALSE)&amp;")","")</f>
        <v/>
      </c>
      <c r="P9" s="73" t="str">
        <f>IFERROR(VLOOKUP(P8,'자율관 배정'!$B:$G,3,FALSE)&amp;"("&amp;VLOOKUP(P8,'자율관 배정'!$B:$F,2,FALSE)&amp;")","")</f>
        <v>()</v>
      </c>
      <c r="Q9" s="73" t="str">
        <f>IFERROR(VLOOKUP(Q8,'자율관 배정'!$B:$G,3,FALSE)&amp;"("&amp;VLOOKUP(Q8,'자율관 배정'!$B:$F,2,FALSE)&amp;")","")</f>
        <v/>
      </c>
      <c r="R9" s="73" t="str">
        <f>IFERROR(VLOOKUP(R8,'자율관 배정'!$B:$G,3,FALSE)&amp;"("&amp;VLOOKUP(R8,'자율관 배정'!$B:$F,2,FALSE)&amp;")","")</f>
        <v>()</v>
      </c>
      <c r="S9" s="73" t="str">
        <f>IFERROR(VLOOKUP(S8,'자율관 배정'!$B:$G,3,FALSE)&amp;"("&amp;VLOOKUP(S8,'자율관 배정'!$B:$F,2,FALSE)&amp;")","")</f>
        <v/>
      </c>
      <c r="T9" s="83"/>
      <c r="U9" s="481"/>
      <c r="V9" s="73" t="str">
        <f>IFERROR(VLOOKUP(V8,'자율관 배정'!$B:$G,3,FALSE)&amp;"("&amp;VLOOKUP(V8,'자율관 배정'!$B:$F,2,FALSE)&amp;")","")</f>
        <v/>
      </c>
      <c r="W9" s="73" t="str">
        <f>IFERROR(VLOOKUP(W8,'자율관 배정'!$B:$G,3,FALSE)&amp;"("&amp;VLOOKUP(W8,'자율관 배정'!$B:$F,2,FALSE)&amp;")","")</f>
        <v>()</v>
      </c>
      <c r="X9" s="73" t="str">
        <f>IFERROR(VLOOKUP(X8,'자율관 배정'!$B:$G,3,FALSE)&amp;"("&amp;VLOOKUP(X8,'자율관 배정'!$B:$F,2,FALSE)&amp;")","")</f>
        <v/>
      </c>
      <c r="Y9" s="73" t="str">
        <f>IFERROR(VLOOKUP(Y8,'자율관 배정'!$B:$G,3,FALSE)&amp;"("&amp;VLOOKUP(Y8,'자율관 배정'!$B:$F,2,FALSE)&amp;")","")</f>
        <v>()</v>
      </c>
      <c r="Z9" s="73" t="str">
        <f>IFERROR(VLOOKUP(Z8,'자율관 배정'!$B:$G,3,FALSE)&amp;"("&amp;VLOOKUP(Z8,'자율관 배정'!$B:$F,2,FALSE)&amp;")","")</f>
        <v/>
      </c>
      <c r="AA9" s="74"/>
      <c r="AB9" s="73" t="str">
        <f>IFERROR(VLOOKUP(AB8,'자율관 배정'!$B:$G,3,FALSE)&amp;"("&amp;VLOOKUP(AB8,'자율관 배정'!$B:$F,2,FALSE)&amp;")","")</f>
        <v>()</v>
      </c>
      <c r="AC9" s="73" t="str">
        <f>IFERROR(VLOOKUP(AC8,'자율관 배정'!$B:$G,3,FALSE)&amp;"("&amp;VLOOKUP(AC8,'자율관 배정'!$B:$F,2,FALSE)&amp;")","")</f>
        <v/>
      </c>
      <c r="AD9" s="73" t="str">
        <f>IFERROR(VLOOKUP(AD8,'자율관 배정'!$B:$G,3,FALSE)&amp;"("&amp;VLOOKUP(AD8,'자율관 배정'!$B:$F,2,FALSE)&amp;")","")</f>
        <v>()</v>
      </c>
      <c r="AE9" s="73" t="str">
        <f>IFERROR(VLOOKUP(AE8,'자율관 배정'!$B:$G,3,FALSE)&amp;"("&amp;VLOOKUP(AE8,'자율관 배정'!$B:$F,2,FALSE)&amp;")","")</f>
        <v/>
      </c>
      <c r="AF9" s="73" t="str">
        <f>IFERROR(VLOOKUP(AF8,'자율관 배정'!$B:$G,3,FALSE)&amp;"("&amp;VLOOKUP(AF8,'자율관 배정'!$B:$F,2,FALSE)&amp;")","")</f>
        <v>()</v>
      </c>
    </row>
    <row r="10" spans="2:32" ht="17.25" thickBot="1" x14ac:dyDescent="0.35">
      <c r="B10" s="7"/>
      <c r="C10" s="8"/>
      <c r="D10" s="8"/>
      <c r="E10" s="8"/>
      <c r="F10" s="8"/>
      <c r="G10" s="78"/>
      <c r="H10" s="8"/>
      <c r="I10" s="8"/>
      <c r="J10" s="8"/>
      <c r="K10" s="8"/>
      <c r="L10" s="8"/>
      <c r="M10" s="78"/>
      <c r="N10" s="78"/>
      <c r="O10" s="9"/>
      <c r="P10" s="9"/>
      <c r="Q10" s="9"/>
      <c r="R10" s="9"/>
      <c r="S10" s="9"/>
      <c r="T10" s="24"/>
      <c r="U10" s="481"/>
      <c r="V10" s="8"/>
      <c r="W10" s="9"/>
      <c r="X10" s="9"/>
      <c r="Y10" s="9"/>
      <c r="Z10" s="9"/>
      <c r="AB10" s="9"/>
      <c r="AC10" s="9"/>
      <c r="AD10" s="9"/>
      <c r="AE10" s="9"/>
      <c r="AF10" s="10"/>
    </row>
    <row r="11" spans="2:32" x14ac:dyDescent="0.3">
      <c r="B11" s="53" t="s">
        <v>402</v>
      </c>
      <c r="C11" s="53" t="s">
        <v>405</v>
      </c>
      <c r="D11" s="53" t="s">
        <v>406</v>
      </c>
      <c r="E11" s="53" t="s">
        <v>407</v>
      </c>
      <c r="F11" s="53" t="s">
        <v>408</v>
      </c>
      <c r="G11" s="78"/>
      <c r="H11" s="53" t="s">
        <v>387</v>
      </c>
      <c r="I11" s="53" t="s">
        <v>388</v>
      </c>
      <c r="J11" s="53" t="s">
        <v>389</v>
      </c>
      <c r="K11" s="53" t="s">
        <v>390</v>
      </c>
      <c r="L11" s="53" t="s">
        <v>391</v>
      </c>
      <c r="M11" s="78"/>
      <c r="N11" s="78"/>
      <c r="O11" s="53" t="s">
        <v>417</v>
      </c>
      <c r="P11" s="53" t="s">
        <v>13</v>
      </c>
      <c r="Q11" s="53" t="s">
        <v>369</v>
      </c>
      <c r="R11" s="53" t="s">
        <v>370</v>
      </c>
      <c r="S11" s="53" t="s">
        <v>371</v>
      </c>
      <c r="T11" s="75"/>
      <c r="U11" s="481"/>
      <c r="V11" s="54" t="s">
        <v>437</v>
      </c>
      <c r="W11" s="54" t="s">
        <v>438</v>
      </c>
      <c r="X11" s="54" t="s">
        <v>449</v>
      </c>
      <c r="Y11" s="54" t="s">
        <v>447</v>
      </c>
      <c r="Z11" s="54" t="s">
        <v>446</v>
      </c>
      <c r="AB11" s="54" t="s">
        <v>486</v>
      </c>
      <c r="AC11" s="54" t="s">
        <v>485</v>
      </c>
      <c r="AD11" s="54" t="s">
        <v>483</v>
      </c>
      <c r="AE11" s="54" t="s">
        <v>482</v>
      </c>
      <c r="AF11" s="54" t="s">
        <v>480</v>
      </c>
    </row>
    <row r="12" spans="2:32" ht="17.25" thickBot="1" x14ac:dyDescent="0.35">
      <c r="B12" s="73" t="str">
        <f>IFERROR(VLOOKUP(B11,'자율관 배정'!$B:$G,3,FALSE)&amp;"("&amp;VLOOKUP(B11,'자율관 배정'!$B:$F,2,FALSE)&amp;")","")</f>
        <v>()</v>
      </c>
      <c r="C12" s="73" t="str">
        <f>IFERROR(VLOOKUP(C11,'자율관 배정'!$B:$G,3,FALSE)&amp;"("&amp;VLOOKUP(C11,'자율관 배정'!$B:$F,2,FALSE)&amp;")","")</f>
        <v/>
      </c>
      <c r="D12" s="73" t="str">
        <f>IFERROR(VLOOKUP(D11,'자율관 배정'!$B:$G,3,FALSE)&amp;"("&amp;VLOOKUP(D11,'자율관 배정'!$B:$F,2,FALSE)&amp;")","")</f>
        <v>()</v>
      </c>
      <c r="E12" s="73" t="str">
        <f>IFERROR(VLOOKUP(E11,'자율관 배정'!$B:$G,3,FALSE)&amp;"("&amp;VLOOKUP(E11,'자율관 배정'!$B:$F,2,FALSE)&amp;")","")</f>
        <v/>
      </c>
      <c r="F12" s="73" t="str">
        <f>IFERROR(VLOOKUP(F11,'자율관 배정'!$B:$G,3,FALSE)&amp;"("&amp;VLOOKUP(F11,'자율관 배정'!$B:$F,2,FALSE)&amp;")","")</f>
        <v>()</v>
      </c>
      <c r="G12" s="78"/>
      <c r="H12" s="73" t="str">
        <f>IFERROR(VLOOKUP(H11,'자율관 배정'!$B:$G,3,FALSE)&amp;"("&amp;VLOOKUP(H11,'자율관 배정'!$B:$F,2,FALSE)&amp;")","")</f>
        <v/>
      </c>
      <c r="I12" s="73" t="str">
        <f>IFERROR(VLOOKUP(I11,'자율관 배정'!$B:$G,3,FALSE)&amp;"("&amp;VLOOKUP(I11,'자율관 배정'!$B:$F,2,FALSE)&amp;")","")</f>
        <v>()</v>
      </c>
      <c r="J12" s="73" t="str">
        <f>IFERROR(VLOOKUP(J11,'자율관 배정'!$B:$G,3,FALSE)&amp;"("&amp;VLOOKUP(J11,'자율관 배정'!$B:$F,2,FALSE)&amp;")","")</f>
        <v/>
      </c>
      <c r="K12" s="73" t="str">
        <f>IFERROR(VLOOKUP(K11,'자율관 배정'!$B:$G,3,FALSE)&amp;"("&amp;VLOOKUP(K11,'자율관 배정'!$B:$F,2,FALSE)&amp;")","")</f>
        <v>()</v>
      </c>
      <c r="L12" s="73" t="str">
        <f>IFERROR(VLOOKUP(L11,'자율관 배정'!$B:$G,3,FALSE)&amp;"("&amp;VLOOKUP(L11,'자율관 배정'!$B:$F,2,FALSE)&amp;")","")</f>
        <v/>
      </c>
      <c r="M12" s="78"/>
      <c r="N12" s="78"/>
      <c r="O12" s="73" t="str">
        <f>IFERROR(VLOOKUP(O11,'자율관 배정'!$B:$G,3,FALSE)&amp;"("&amp;VLOOKUP(O11,'자율관 배정'!$B:$F,2,FALSE)&amp;")","")</f>
        <v>()</v>
      </c>
      <c r="P12" s="73" t="str">
        <f>IFERROR(VLOOKUP(P11,'자율관 배정'!$B:$G,3,FALSE)&amp;"("&amp;VLOOKUP(P11,'자율관 배정'!$B:$F,2,FALSE)&amp;")","")</f>
        <v/>
      </c>
      <c r="Q12" s="73" t="str">
        <f>IFERROR(VLOOKUP(Q11,'자율관 배정'!$B:$G,3,FALSE)&amp;"("&amp;VLOOKUP(Q11,'자율관 배정'!$B:$F,2,FALSE)&amp;")","")</f>
        <v>()</v>
      </c>
      <c r="R12" s="73" t="str">
        <f>IFERROR(VLOOKUP(R11,'자율관 배정'!$B:$G,3,FALSE)&amp;"("&amp;VLOOKUP(R11,'자율관 배정'!$B:$F,2,FALSE)&amp;")","")</f>
        <v/>
      </c>
      <c r="S12" s="73" t="str">
        <f>IFERROR(VLOOKUP(S11,'자율관 배정'!$B:$G,3,FALSE)&amp;"("&amp;VLOOKUP(S11,'자율관 배정'!$B:$F,2,FALSE)&amp;")","")</f>
        <v>()</v>
      </c>
      <c r="T12" s="83"/>
      <c r="U12" s="481"/>
      <c r="V12" s="73" t="str">
        <f>IFERROR(VLOOKUP(V11,'자율관 배정'!$B:$G,3,FALSE)&amp;"("&amp;VLOOKUP(V11,'자율관 배정'!$B:$F,2,FALSE)&amp;")","")</f>
        <v>()</v>
      </c>
      <c r="W12" s="73" t="str">
        <f>IFERROR(VLOOKUP(W11,'자율관 배정'!$B:$G,3,FALSE)&amp;"("&amp;VLOOKUP(W11,'자율관 배정'!$B:$F,2,FALSE)&amp;")","")</f>
        <v/>
      </c>
      <c r="X12" s="73" t="str">
        <f>IFERROR(VLOOKUP(X11,'자율관 배정'!$B:$G,3,FALSE)&amp;"("&amp;VLOOKUP(X11,'자율관 배정'!$B:$F,2,FALSE)&amp;")","")</f>
        <v>()</v>
      </c>
      <c r="Y12" s="73" t="str">
        <f>IFERROR(VLOOKUP(Y11,'자율관 배정'!$B:$G,3,FALSE)&amp;"("&amp;VLOOKUP(Y11,'자율관 배정'!$B:$F,2,FALSE)&amp;")","")</f>
        <v/>
      </c>
      <c r="Z12" s="73" t="str">
        <f>IFERROR(VLOOKUP(Z11,'자율관 배정'!$B:$G,3,FALSE)&amp;"("&amp;VLOOKUP(Z11,'자율관 배정'!$B:$F,2,FALSE)&amp;")","")</f>
        <v>()</v>
      </c>
      <c r="AA12" s="74"/>
      <c r="AB12" s="73" t="str">
        <f>IFERROR(VLOOKUP(AB11,'자율관 배정'!$B:$G,3,FALSE)&amp;"("&amp;VLOOKUP(AB11,'자율관 배정'!$B:$F,2,FALSE)&amp;")","")</f>
        <v/>
      </c>
      <c r="AC12" s="73" t="str">
        <f>IFERROR(VLOOKUP(AC11,'자율관 배정'!$B:$G,3,FALSE)&amp;"("&amp;VLOOKUP(AC11,'자율관 배정'!$B:$F,2,FALSE)&amp;")","")</f>
        <v>()</v>
      </c>
      <c r="AD12" s="73" t="str">
        <f>IFERROR(VLOOKUP(AD11,'자율관 배정'!$B:$G,3,FALSE)&amp;"("&amp;VLOOKUP(AD11,'자율관 배정'!$B:$F,2,FALSE)&amp;")","")</f>
        <v/>
      </c>
      <c r="AE12" s="73" t="str">
        <f>IFERROR(VLOOKUP(AE11,'자율관 배정'!$B:$G,3,FALSE)&amp;"("&amp;VLOOKUP(AE11,'자율관 배정'!$B:$F,2,FALSE)&amp;")","")</f>
        <v>()</v>
      </c>
      <c r="AF12" s="73" t="str">
        <f>IFERROR(VLOOKUP(AF11,'자율관 배정'!$B:$G,3,FALSE)&amp;"("&amp;VLOOKUP(AF11,'자율관 배정'!$B:$F,2,FALSE)&amp;")","")</f>
        <v/>
      </c>
    </row>
    <row r="13" spans="2:32" x14ac:dyDescent="0.3">
      <c r="B13" s="53" t="s">
        <v>403</v>
      </c>
      <c r="C13" s="53" t="s">
        <v>404</v>
      </c>
      <c r="D13" s="53" t="s">
        <v>411</v>
      </c>
      <c r="E13" s="53" t="s">
        <v>410</v>
      </c>
      <c r="F13" s="53" t="s">
        <v>409</v>
      </c>
      <c r="G13" s="78"/>
      <c r="H13" s="53" t="s">
        <v>396</v>
      </c>
      <c r="I13" s="53" t="s">
        <v>395</v>
      </c>
      <c r="J13" s="53" t="s">
        <v>394</v>
      </c>
      <c r="K13" s="53" t="s">
        <v>393</v>
      </c>
      <c r="L13" s="53" t="s">
        <v>392</v>
      </c>
      <c r="M13" s="78"/>
      <c r="N13" s="78"/>
      <c r="O13" s="53" t="s">
        <v>429</v>
      </c>
      <c r="P13" s="53" t="s">
        <v>428</v>
      </c>
      <c r="Q13" s="53" t="s">
        <v>368</v>
      </c>
      <c r="R13" s="53" t="s">
        <v>367</v>
      </c>
      <c r="S13" s="53" t="s">
        <v>366</v>
      </c>
      <c r="T13" s="75"/>
      <c r="U13" s="481"/>
      <c r="V13" s="54" t="s">
        <v>435</v>
      </c>
      <c r="W13" s="54" t="s">
        <v>440</v>
      </c>
      <c r="X13" s="54" t="s">
        <v>441</v>
      </c>
      <c r="Y13" s="54" t="s">
        <v>443</v>
      </c>
      <c r="Z13" s="54" t="s">
        <v>444</v>
      </c>
      <c r="AB13" s="54" t="s">
        <v>488</v>
      </c>
      <c r="AC13" s="54" t="s">
        <v>489</v>
      </c>
      <c r="AD13" s="54" t="s">
        <v>491</v>
      </c>
      <c r="AE13" s="54" t="s">
        <v>492</v>
      </c>
      <c r="AF13" s="54" t="s">
        <v>494</v>
      </c>
    </row>
    <row r="14" spans="2:32" ht="17.25" thickBot="1" x14ac:dyDescent="0.35">
      <c r="B14" s="73" t="str">
        <f>IFERROR(VLOOKUP(B13,'자율관 배정'!$B:$G,3,FALSE)&amp;"("&amp;VLOOKUP(B13,'자율관 배정'!$B:$F,2,FALSE)&amp;")","")</f>
        <v/>
      </c>
      <c r="C14" s="73" t="str">
        <f>IFERROR(VLOOKUP(C13,'자율관 배정'!$B:$G,3,FALSE)&amp;"("&amp;VLOOKUP(C13,'자율관 배정'!$B:$F,2,FALSE)&amp;")","")</f>
        <v>()</v>
      </c>
      <c r="D14" s="73" t="str">
        <f>IFERROR(VLOOKUP(D13,'자율관 배정'!$B:$G,3,FALSE)&amp;"("&amp;VLOOKUP(D13,'자율관 배정'!$B:$F,2,FALSE)&amp;")","")</f>
        <v/>
      </c>
      <c r="E14" s="73" t="str">
        <f>IFERROR(VLOOKUP(E13,'자율관 배정'!$B:$G,3,FALSE)&amp;"("&amp;VLOOKUP(E13,'자율관 배정'!$B:$F,2,FALSE)&amp;")","")</f>
        <v>()</v>
      </c>
      <c r="F14" s="73" t="str">
        <f>IFERROR(VLOOKUP(F13,'자율관 배정'!$B:$G,3,FALSE)&amp;"("&amp;VLOOKUP(F13,'자율관 배정'!$B:$F,2,FALSE)&amp;")","")</f>
        <v/>
      </c>
      <c r="G14" s="78"/>
      <c r="H14" s="73" t="str">
        <f>IFERROR(VLOOKUP(H13,'자율관 배정'!$B:$G,3,FALSE)&amp;"("&amp;VLOOKUP(H13,'자율관 배정'!$B:$F,2,FALSE)&amp;")","")</f>
        <v>()</v>
      </c>
      <c r="I14" s="73" t="str">
        <f>IFERROR(VLOOKUP(I13,'자율관 배정'!$B:$G,3,FALSE)&amp;"("&amp;VLOOKUP(I13,'자율관 배정'!$B:$F,2,FALSE)&amp;")","")</f>
        <v/>
      </c>
      <c r="J14" s="73" t="str">
        <f>IFERROR(VLOOKUP(J13,'자율관 배정'!$B:$G,3,FALSE)&amp;"("&amp;VLOOKUP(J13,'자율관 배정'!$B:$F,2,FALSE)&amp;")","")</f>
        <v>()</v>
      </c>
      <c r="K14" s="73" t="str">
        <f>IFERROR(VLOOKUP(K13,'자율관 배정'!$B:$G,3,FALSE)&amp;"("&amp;VLOOKUP(K13,'자율관 배정'!$B:$F,2,FALSE)&amp;")","")</f>
        <v/>
      </c>
      <c r="L14" s="73" t="str">
        <f>IFERROR(VLOOKUP(L13,'자율관 배정'!$B:$G,3,FALSE)&amp;"("&amp;VLOOKUP(L13,'자율관 배정'!$B:$F,2,FALSE)&amp;")","")</f>
        <v>()</v>
      </c>
      <c r="M14" s="78"/>
      <c r="N14" s="78"/>
      <c r="O14" s="73" t="str">
        <f>IFERROR(VLOOKUP(O13,'자율관 배정'!$B:$G,3,FALSE)&amp;"("&amp;VLOOKUP(O13,'자율관 배정'!$B:$F,2,FALSE)&amp;")","")</f>
        <v/>
      </c>
      <c r="P14" s="73" t="str">
        <f>IFERROR(VLOOKUP(P13,'자율관 배정'!$B:$G,3,FALSE)&amp;"("&amp;VLOOKUP(P13,'자율관 배정'!$B:$F,2,FALSE)&amp;")","")</f>
        <v>()</v>
      </c>
      <c r="Q14" s="73" t="str">
        <f>IFERROR(VLOOKUP(Q13,'자율관 배정'!$B:$G,3,FALSE)&amp;"("&amp;VLOOKUP(Q13,'자율관 배정'!$B:$F,2,FALSE)&amp;")","")</f>
        <v/>
      </c>
      <c r="R14" s="73" t="str">
        <f>IFERROR(VLOOKUP(R13,'자율관 배정'!$B:$G,3,FALSE)&amp;"("&amp;VLOOKUP(R13,'자율관 배정'!$B:$F,2,FALSE)&amp;")","")</f>
        <v>()</v>
      </c>
      <c r="S14" s="73" t="str">
        <f>IFERROR(VLOOKUP(S13,'자율관 배정'!$B:$G,3,FALSE)&amp;"("&amp;VLOOKUP(S13,'자율관 배정'!$B:$F,2,FALSE)&amp;")","")</f>
        <v/>
      </c>
      <c r="T14" s="83"/>
      <c r="U14" s="481"/>
      <c r="V14" s="73" t="str">
        <f>IFERROR(VLOOKUP(V13,'자율관 배정'!$B:$G,3,FALSE)&amp;"("&amp;VLOOKUP(V13,'자율관 배정'!$B:$F,2,FALSE)&amp;")","")</f>
        <v/>
      </c>
      <c r="W14" s="73" t="str">
        <f>IFERROR(VLOOKUP(W13,'자율관 배정'!$B:$G,3,FALSE)&amp;"("&amp;VLOOKUP(W13,'자율관 배정'!$B:$F,2,FALSE)&amp;")","")</f>
        <v>()</v>
      </c>
      <c r="X14" s="73" t="str">
        <f>IFERROR(VLOOKUP(X13,'자율관 배정'!$B:$G,3,FALSE)&amp;"("&amp;VLOOKUP(X13,'자율관 배정'!$B:$F,2,FALSE)&amp;")","")</f>
        <v/>
      </c>
      <c r="Y14" s="73" t="str">
        <f>IFERROR(VLOOKUP(Y13,'자율관 배정'!$B:$G,3,FALSE)&amp;"("&amp;VLOOKUP(Y13,'자율관 배정'!$B:$F,2,FALSE)&amp;")","")</f>
        <v>()</v>
      </c>
      <c r="Z14" s="73" t="str">
        <f>IFERROR(VLOOKUP(Z13,'자율관 배정'!$B:$G,3,FALSE)&amp;"("&amp;VLOOKUP(Z13,'자율관 배정'!$B:$F,2,FALSE)&amp;")","")</f>
        <v/>
      </c>
      <c r="AA14" s="74"/>
      <c r="AB14" s="73" t="str">
        <f>IFERROR(VLOOKUP(AB13,'자율관 배정'!$B:$G,3,FALSE)&amp;"("&amp;VLOOKUP(AB13,'자율관 배정'!$B:$F,2,FALSE)&amp;")","")</f>
        <v>()</v>
      </c>
      <c r="AC14" s="73" t="str">
        <f>IFERROR(VLOOKUP(AC13,'자율관 배정'!$B:$G,3,FALSE)&amp;"("&amp;VLOOKUP(AC13,'자율관 배정'!$B:$F,2,FALSE)&amp;")","")</f>
        <v/>
      </c>
      <c r="AD14" s="73" t="str">
        <f>IFERROR(VLOOKUP(AD13,'자율관 배정'!$B:$G,3,FALSE)&amp;"("&amp;VLOOKUP(AD13,'자율관 배정'!$B:$F,2,FALSE)&amp;")","")</f>
        <v>()</v>
      </c>
      <c r="AE14" s="73" t="str">
        <f>IFERROR(VLOOKUP(AE13,'자율관 배정'!$B:$G,3,FALSE)&amp;"("&amp;VLOOKUP(AE13,'자율관 배정'!$B:$F,2,FALSE)&amp;")","")</f>
        <v/>
      </c>
      <c r="AF14" s="73" t="str">
        <f>IFERROR(VLOOKUP(AF13,'자율관 배정'!$B:$G,3,FALSE)&amp;"("&amp;VLOOKUP(AF13,'자율관 배정'!$B:$F,2,FALSE)&amp;")","")</f>
        <v>()</v>
      </c>
    </row>
    <row r="15" spans="2:32" ht="17.25" thickBot="1" x14ac:dyDescent="0.35">
      <c r="B15" s="7"/>
      <c r="C15" s="8"/>
      <c r="D15" s="8"/>
      <c r="E15" s="8"/>
      <c r="F15" s="8"/>
      <c r="G15" s="78"/>
      <c r="H15" s="78"/>
      <c r="I15" s="8"/>
      <c r="J15" s="8"/>
      <c r="K15" s="8"/>
      <c r="L15" s="8"/>
      <c r="M15" s="78"/>
      <c r="N15" s="78"/>
      <c r="O15" s="9"/>
      <c r="P15" s="9"/>
      <c r="Q15" s="9"/>
      <c r="R15" s="9"/>
      <c r="S15" s="9"/>
      <c r="T15" s="24"/>
      <c r="U15" s="481"/>
      <c r="V15" s="9"/>
      <c r="W15" s="9"/>
      <c r="X15" s="9"/>
      <c r="Y15" s="9"/>
      <c r="Z15" s="9"/>
      <c r="AB15" s="9"/>
      <c r="AC15" s="9"/>
      <c r="AD15" s="9"/>
      <c r="AE15" s="9"/>
      <c r="AF15" s="10"/>
    </row>
    <row r="16" spans="2:32" x14ac:dyDescent="0.3">
      <c r="B16" s="53" t="s">
        <v>412</v>
      </c>
      <c r="C16" s="53" t="s">
        <v>413</v>
      </c>
      <c r="D16" s="53" t="s">
        <v>414</v>
      </c>
      <c r="E16" s="53" t="s">
        <v>415</v>
      </c>
      <c r="F16" s="53" t="s">
        <v>416</v>
      </c>
      <c r="G16" s="78"/>
      <c r="H16" s="78"/>
      <c r="I16" s="53" t="s">
        <v>365</v>
      </c>
      <c r="J16" s="53" t="s">
        <v>364</v>
      </c>
      <c r="K16" s="53" t="s">
        <v>363</v>
      </c>
      <c r="L16" s="53" t="s">
        <v>327</v>
      </c>
      <c r="M16" s="78"/>
      <c r="N16" s="78"/>
      <c r="O16" s="12"/>
      <c r="P16" s="12"/>
      <c r="Q16" s="12"/>
      <c r="R16" s="12"/>
      <c r="S16" s="12"/>
      <c r="T16" s="22"/>
      <c r="U16" s="481"/>
      <c r="V16" s="54" t="s">
        <v>431</v>
      </c>
      <c r="W16" s="54" t="s">
        <v>432</v>
      </c>
      <c r="X16" s="54" t="s">
        <v>434</v>
      </c>
      <c r="AE16" s="54" t="s">
        <v>495</v>
      </c>
      <c r="AF16" s="54" t="s">
        <v>496</v>
      </c>
    </row>
    <row r="17" spans="1:32" ht="17.25" thickBot="1" x14ac:dyDescent="0.35">
      <c r="B17" s="73" t="str">
        <f>IFERROR(VLOOKUP(B16,'자율관 배정'!$B:$G,3,FALSE)&amp;"("&amp;VLOOKUP(B16,'자율관 배정'!$B:$F,2,FALSE)&amp;")","")</f>
        <v>()</v>
      </c>
      <c r="C17" s="73" t="str">
        <f>IFERROR(VLOOKUP(C16,'자율관 배정'!$B:$G,3,FALSE)&amp;"("&amp;VLOOKUP(C16,'자율관 배정'!$B:$F,2,FALSE)&amp;")","")</f>
        <v/>
      </c>
      <c r="D17" s="73" t="str">
        <f>IFERROR(VLOOKUP(D16,'자율관 배정'!$B:$G,3,FALSE)&amp;"("&amp;VLOOKUP(D16,'자율관 배정'!$B:$F,2,FALSE)&amp;")","")</f>
        <v>()</v>
      </c>
      <c r="E17" s="73" t="str">
        <f>IFERROR(VLOOKUP(E16,'자율관 배정'!$B:$G,3,FALSE)&amp;"("&amp;VLOOKUP(E16,'자율관 배정'!$B:$F,2,FALSE)&amp;")","")</f>
        <v/>
      </c>
      <c r="F17" s="73" t="str">
        <f>IFERROR(VLOOKUP(F16,'자율관 배정'!$B:$G,3,FALSE)&amp;"("&amp;VLOOKUP(F16,'자율관 배정'!$B:$F,2,FALSE)&amp;")","")</f>
        <v>()</v>
      </c>
      <c r="G17" s="78"/>
      <c r="H17" s="78"/>
      <c r="I17" s="73" t="str">
        <f>IFERROR(VLOOKUP(I16,'자율관 배정'!$B:$G,3,FALSE)&amp;"("&amp;VLOOKUP(I16,'자율관 배정'!$B:$F,2,FALSE)&amp;")","")</f>
        <v>()</v>
      </c>
      <c r="J17" s="73" t="str">
        <f>IFERROR(VLOOKUP(J16,'자율관 배정'!$B:$G,3,FALSE)&amp;"("&amp;VLOOKUP(J16,'자율관 배정'!$B:$F,2,FALSE)&amp;")","")</f>
        <v/>
      </c>
      <c r="K17" s="73" t="str">
        <f>IFERROR(VLOOKUP(K16,'자율관 배정'!$B:$G,3,FALSE)&amp;"("&amp;VLOOKUP(K16,'자율관 배정'!$B:$F,2,FALSE)&amp;")","")</f>
        <v>()</v>
      </c>
      <c r="L17" s="73" t="str">
        <f>IFERROR(VLOOKUP(L16,'자율관 배정'!$B:$G,3,FALSE)&amp;"("&amp;VLOOKUP(L16,'자율관 배정'!$B:$F,2,FALSE)&amp;")","")</f>
        <v/>
      </c>
      <c r="M17" s="78"/>
      <c r="N17" s="8"/>
      <c r="O17" s="9"/>
      <c r="P17" s="9"/>
      <c r="Q17" s="9"/>
      <c r="R17" s="9"/>
      <c r="S17" s="9"/>
      <c r="T17" s="10"/>
      <c r="U17" s="481"/>
      <c r="V17" s="73" t="str">
        <f>IFERROR(VLOOKUP(V16,'자율관 배정'!$B:$G,3,FALSE)&amp;"("&amp;VLOOKUP(V16,'자율관 배정'!$B:$F,2,FALSE)&amp;")","")</f>
        <v>()</v>
      </c>
      <c r="W17" s="73" t="str">
        <f>IFERROR(VLOOKUP(W16,'자율관 배정'!$B:$G,3,FALSE)&amp;"("&amp;VLOOKUP(W16,'자율관 배정'!$B:$F,2,FALSE)&amp;")","")</f>
        <v/>
      </c>
      <c r="X17" s="73" t="str">
        <f>IFERROR(VLOOKUP(X16,'자율관 배정'!$B:$G,3,FALSE)&amp;"("&amp;VLOOKUP(X16,'자율관 배정'!$B:$F,2,FALSE)&amp;")","")</f>
        <v>()</v>
      </c>
      <c r="Y17" s="74"/>
      <c r="Z17" s="74"/>
      <c r="AA17" s="74"/>
      <c r="AB17" s="74"/>
      <c r="AC17" s="74"/>
      <c r="AD17" s="74"/>
      <c r="AE17" s="73" t="str">
        <f>IFERROR(VLOOKUP(AE16,'자율관 배정'!$B:$G,3,FALSE)&amp;"("&amp;VLOOKUP(AE16,'자율관 배정'!$B:$F,2,FALSE)&amp;")","")</f>
        <v>()</v>
      </c>
      <c r="AF17" s="73" t="str">
        <f>IFERROR(VLOOKUP(AF16,'자율관 배정'!$B:$G,3,FALSE)&amp;"("&amp;VLOOKUP(AF16,'자율관 배정'!$B:$F,2,FALSE)&amp;")","")</f>
        <v/>
      </c>
    </row>
    <row r="18" spans="1:32" ht="17.25" thickBot="1" x14ac:dyDescent="0.35">
      <c r="B18" s="15"/>
      <c r="C18" s="16"/>
      <c r="D18" s="16"/>
      <c r="E18" s="16"/>
      <c r="F18" s="16"/>
      <c r="G18" s="78"/>
      <c r="H18" s="78"/>
      <c r="I18" s="16"/>
      <c r="J18" s="16"/>
      <c r="K18" s="16"/>
      <c r="L18" s="16"/>
      <c r="M18" s="78"/>
      <c r="N18" s="8"/>
      <c r="O18" s="9"/>
      <c r="P18" s="9"/>
      <c r="Q18" s="9"/>
      <c r="R18" s="9"/>
      <c r="S18" s="9"/>
      <c r="T18" s="10"/>
      <c r="U18" s="481"/>
      <c r="V18" s="16"/>
      <c r="W18" s="16"/>
      <c r="X18" s="16"/>
      <c r="AE18" s="9"/>
      <c r="AF18" s="10"/>
    </row>
    <row r="19" spans="1:32" ht="17.45" customHeight="1" thickBot="1" x14ac:dyDescent="0.35">
      <c r="B19" s="67"/>
      <c r="C19" s="17"/>
      <c r="D19" s="17"/>
      <c r="E19" s="483"/>
      <c r="F19" s="483"/>
      <c r="G19" s="483"/>
      <c r="H19" s="483"/>
      <c r="I19" s="483"/>
      <c r="J19" s="17"/>
      <c r="K19" s="17"/>
      <c r="L19" s="17"/>
      <c r="M19" s="17"/>
      <c r="N19" s="17"/>
      <c r="O19" s="18"/>
      <c r="P19" s="50"/>
      <c r="Q19" s="484" t="s">
        <v>0</v>
      </c>
      <c r="R19" s="485"/>
      <c r="S19" s="50"/>
      <c r="T19" s="19"/>
      <c r="U19" s="482"/>
      <c r="V19" s="18"/>
      <c r="W19" s="18"/>
      <c r="X19" s="18"/>
      <c r="Y19" s="18"/>
      <c r="Z19" s="18"/>
      <c r="AA19" s="18"/>
      <c r="AB19" s="484" t="s">
        <v>0</v>
      </c>
      <c r="AC19" s="485"/>
      <c r="AD19" s="18"/>
      <c r="AE19" s="18"/>
      <c r="AF19" s="19"/>
    </row>
    <row r="20" spans="1:32" ht="17.25" thickBot="1" x14ac:dyDescent="0.35">
      <c r="A20" s="36"/>
      <c r="B20" s="167" t="s">
        <v>136</v>
      </c>
      <c r="C20" s="73" t="str">
        <f>IFERROR(VLOOKUP(B20,'자율관 배정'!$B:$G,3,FALSE)&amp;"("&amp;VLOOKUP(B20,'자율관 배정'!$B:$F,2,FALSE)&amp;")","")</f>
        <v>()</v>
      </c>
      <c r="D20" s="81"/>
      <c r="E20" s="82" t="s">
        <v>155</v>
      </c>
      <c r="F20" s="82" t="s">
        <v>156</v>
      </c>
      <c r="G20" s="82" t="s">
        <v>157</v>
      </c>
      <c r="H20" s="78"/>
      <c r="I20" s="82" t="s">
        <v>158</v>
      </c>
      <c r="J20" s="82" t="s">
        <v>159</v>
      </c>
      <c r="K20" s="82" t="s">
        <v>160</v>
      </c>
      <c r="L20" s="82" t="s">
        <v>161</v>
      </c>
      <c r="M20" s="82" t="s">
        <v>162</v>
      </c>
      <c r="N20" s="82" t="s">
        <v>163</v>
      </c>
      <c r="O20" s="22"/>
      <c r="P20" s="12"/>
      <c r="Q20" s="495" t="s">
        <v>0</v>
      </c>
      <c r="R20" s="496"/>
      <c r="S20" s="20"/>
      <c r="T20" s="20"/>
      <c r="U20" s="84"/>
      <c r="V20" s="165"/>
      <c r="W20" s="165"/>
      <c r="X20" s="165"/>
      <c r="Y20" s="165"/>
      <c r="Z20" s="165"/>
      <c r="AA20" s="76"/>
      <c r="AB20" s="484" t="s">
        <v>0</v>
      </c>
      <c r="AC20" s="485"/>
      <c r="AD20" s="76"/>
      <c r="AE20" s="165"/>
      <c r="AF20" s="77"/>
    </row>
    <row r="21" spans="1:32" ht="17.25" thickBot="1" x14ac:dyDescent="0.35">
      <c r="A21" s="36"/>
      <c r="B21" s="168" t="s">
        <v>137</v>
      </c>
      <c r="C21" s="73" t="str">
        <f>IFERROR(VLOOKUP(B21,'자율관 배정'!$B:$G,3,FALSE)&amp;"("&amp;VLOOKUP(B21,'자율관 배정'!$B:$F,2,FALSE)&amp;")","")</f>
        <v/>
      </c>
      <c r="D21" s="51"/>
      <c r="E21" s="73" t="str">
        <f>IFERROR(VLOOKUP(E20,'자율관 배정'!$B:$G,3,FALSE)&amp;"("&amp;VLOOKUP(E20,'자율관 배정'!$B:$F,2,FALSE)&amp;")","")</f>
        <v/>
      </c>
      <c r="F21" s="73" t="str">
        <f>IFERROR(VLOOKUP(F20,'자율관 배정'!$B:$G,3,FALSE)&amp;"("&amp;VLOOKUP(F20,'자율관 배정'!$B:$F,2,FALSE)&amp;")","")</f>
        <v>()</v>
      </c>
      <c r="G21" s="73" t="str">
        <f>IFERROR(VLOOKUP(G20,'자율관 배정'!$B:$G,3,FALSE)&amp;"("&amp;VLOOKUP(G20,'자율관 배정'!$B:$F,2,FALSE)&amp;")","")</f>
        <v/>
      </c>
      <c r="H21" s="78"/>
      <c r="I21" s="73" t="str">
        <f>IFERROR(VLOOKUP(I20,'자율관 배정'!$B:$G,3,FALSE)&amp;"("&amp;VLOOKUP(I20,'자율관 배정'!$B:$F,2,FALSE)&amp;")","")</f>
        <v>()</v>
      </c>
      <c r="J21" s="73" t="str">
        <f>IFERROR(VLOOKUP(J20,'자율관 배정'!$B:$G,3,FALSE)&amp;"("&amp;VLOOKUP(J20,'자율관 배정'!$B:$F,2,FALSE)&amp;")","")</f>
        <v/>
      </c>
      <c r="K21" s="73" t="str">
        <f>IFERROR(VLOOKUP(K20,'자율관 배정'!$B:$G,3,FALSE)&amp;"("&amp;VLOOKUP(K20,'자율관 배정'!$B:$F,2,FALSE)&amp;")","")</f>
        <v>()</v>
      </c>
      <c r="L21" s="73" t="str">
        <f>IFERROR(VLOOKUP(L20,'자율관 배정'!$B:$G,3,FALSE)&amp;"("&amp;VLOOKUP(L20,'자율관 배정'!$B:$F,2,FALSE)&amp;")","")</f>
        <v/>
      </c>
      <c r="M21" s="73" t="str">
        <f>IFERROR(VLOOKUP(M20,'자율관 배정'!$B:$G,3,FALSE)&amp;"("&amp;VLOOKUP(M20,'자율관 배정'!$B:$F,2,FALSE)&amp;")","")</f>
        <v>()</v>
      </c>
      <c r="N21" s="73" t="str">
        <f>IFERROR(VLOOKUP(N20,'자율관 배정'!$B:$G,3,FALSE)&amp;"("&amp;VLOOKUP(N20,'자율관 배정'!$B:$F,2,FALSE)&amp;")","")</f>
        <v/>
      </c>
      <c r="O21" s="10"/>
      <c r="P21" s="21"/>
      <c r="Q21" s="9"/>
      <c r="R21" s="9"/>
      <c r="S21" s="21"/>
      <c r="T21" s="21"/>
      <c r="U21" s="23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</row>
    <row r="22" spans="1:32" ht="17.25" thickBot="1" x14ac:dyDescent="0.35">
      <c r="A22" s="36"/>
      <c r="B22" s="168" t="s">
        <v>138</v>
      </c>
      <c r="C22" s="73" t="str">
        <f>IFERROR(VLOOKUP(B22,'자율관 배정'!$B:$G,3,FALSE)&amp;"("&amp;VLOOKUP(B22,'자율관 배정'!$B:$F,2,FALSE)&amp;")","")</f>
        <v>()</v>
      </c>
      <c r="D22" s="52"/>
      <c r="E22" s="11" t="s">
        <v>164</v>
      </c>
      <c r="F22" s="11" t="s">
        <v>165</v>
      </c>
      <c r="G22" s="11" t="s">
        <v>166</v>
      </c>
      <c r="H22" s="78"/>
      <c r="I22" s="11" t="s">
        <v>167</v>
      </c>
      <c r="J22" s="11" t="s">
        <v>168</v>
      </c>
      <c r="K22" s="11" t="s">
        <v>169</v>
      </c>
      <c r="L22" s="11" t="s">
        <v>170</v>
      </c>
      <c r="M22" s="11" t="s">
        <v>171</v>
      </c>
      <c r="N22" s="11" t="s">
        <v>172</v>
      </c>
      <c r="O22" s="22"/>
      <c r="P22" s="20"/>
      <c r="Q22" s="20"/>
      <c r="R22" s="20"/>
      <c r="S22" s="20"/>
      <c r="T22" s="20"/>
      <c r="U22" s="85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22"/>
    </row>
    <row r="23" spans="1:32" ht="17.45" customHeight="1" thickBot="1" x14ac:dyDescent="0.35">
      <c r="A23" s="36"/>
      <c r="B23" s="168" t="s">
        <v>139</v>
      </c>
      <c r="C23" s="73" t="str">
        <f>IFERROR(VLOOKUP(B23,'자율관 배정'!$B:$G,3,FALSE)&amp;"("&amp;VLOOKUP(B23,'자율관 배정'!$B:$F,2,FALSE)&amp;")","")</f>
        <v/>
      </c>
      <c r="D23" s="51"/>
      <c r="E23" s="73" t="str">
        <f>IFERROR(VLOOKUP(E22,'자율관 배정'!$B:$G,3,FALSE)&amp;"("&amp;VLOOKUP(E22,'자율관 배정'!$B:$F,2,FALSE)&amp;")","")</f>
        <v>()</v>
      </c>
      <c r="F23" s="73" t="str">
        <f>IFERROR(VLOOKUP(F22,'자율관 배정'!$B:$G,3,FALSE)&amp;"("&amp;VLOOKUP(F22,'자율관 배정'!$B:$F,2,FALSE)&amp;")","")</f>
        <v/>
      </c>
      <c r="G23" s="73" t="str">
        <f>IFERROR(VLOOKUP(G22,'자율관 배정'!$B:$G,3,FALSE)&amp;"("&amp;VLOOKUP(G22,'자율관 배정'!$B:$F,2,FALSE)&amp;")","")</f>
        <v>()</v>
      </c>
      <c r="H23" s="78"/>
      <c r="I23" s="73" t="str">
        <f>IFERROR(VLOOKUP(I22,'자율관 배정'!$B:$G,3,FALSE)&amp;"("&amp;VLOOKUP(I22,'자율관 배정'!$B:$F,2,FALSE)&amp;")","")</f>
        <v/>
      </c>
      <c r="J23" s="73" t="str">
        <f>IFERROR(VLOOKUP(J22,'자율관 배정'!$B:$G,3,FALSE)&amp;"("&amp;VLOOKUP(J22,'자율관 배정'!$B:$F,2,FALSE)&amp;")","")</f>
        <v>()</v>
      </c>
      <c r="K23" s="73" t="str">
        <f>IFERROR(VLOOKUP(K22,'자율관 배정'!$B:$G,3,FALSE)&amp;"("&amp;VLOOKUP(K22,'자율관 배정'!$B:$F,2,FALSE)&amp;")","")</f>
        <v/>
      </c>
      <c r="L23" s="73" t="str">
        <f>IFERROR(VLOOKUP(L22,'자율관 배정'!$B:$G,3,FALSE)&amp;"("&amp;VLOOKUP(L22,'자율관 배정'!$B:$F,2,FALSE)&amp;")","")</f>
        <v>()</v>
      </c>
      <c r="M23" s="73" t="str">
        <f>IFERROR(VLOOKUP(M22,'자율관 배정'!$B:$G,3,FALSE)&amp;"("&amp;VLOOKUP(M22,'자율관 배정'!$B:$F,2,FALSE)&amp;")","")</f>
        <v/>
      </c>
      <c r="N23" s="73" t="str">
        <f>IFERROR(VLOOKUP(N22,'자율관 배정'!$B:$G,3,FALSE)&amp;"("&amp;VLOOKUP(N22,'자율관 배정'!$B:$F,2,FALSE)&amp;")","")</f>
        <v>()</v>
      </c>
      <c r="O23" s="10"/>
      <c r="P23" s="21"/>
      <c r="Q23" s="21"/>
      <c r="R23" s="21"/>
      <c r="S23" s="21"/>
      <c r="T23" s="20"/>
      <c r="U23" s="56" t="s">
        <v>14</v>
      </c>
      <c r="V23" s="56" t="s">
        <v>15</v>
      </c>
      <c r="W23" s="56" t="s">
        <v>16</v>
      </c>
      <c r="X23" s="56" t="s">
        <v>17</v>
      </c>
      <c r="Y23" s="56" t="s">
        <v>18</v>
      </c>
      <c r="Z23" s="56" t="s">
        <v>19</v>
      </c>
      <c r="AA23" s="78"/>
      <c r="AB23" s="56" t="s">
        <v>20</v>
      </c>
      <c r="AC23" s="56" t="s">
        <v>21</v>
      </c>
      <c r="AD23" s="56" t="s">
        <v>22</v>
      </c>
      <c r="AE23" s="56" t="s">
        <v>23</v>
      </c>
      <c r="AF23" s="56" t="s">
        <v>24</v>
      </c>
    </row>
    <row r="24" spans="1:32" ht="17.25" thickBot="1" x14ac:dyDescent="0.35">
      <c r="A24" s="36"/>
      <c r="B24" s="168" t="s">
        <v>140</v>
      </c>
      <c r="C24" s="73" t="str">
        <f>IFERROR(VLOOKUP(B24,'자율관 배정'!$B:$G,3,FALSE)&amp;"("&amp;VLOOKUP(B24,'자율관 배정'!$B:$F,2,FALSE)&amp;")","")</f>
        <v>()</v>
      </c>
      <c r="D24" s="46"/>
      <c r="E24" s="14"/>
      <c r="F24" s="14"/>
      <c r="G24" s="14"/>
      <c r="H24" s="78"/>
      <c r="I24" s="14"/>
      <c r="J24" s="14"/>
      <c r="K24" s="14"/>
      <c r="L24" s="14"/>
      <c r="M24" s="14"/>
      <c r="N24" s="44"/>
      <c r="O24" s="22"/>
      <c r="P24" s="21"/>
      <c r="Q24" s="21"/>
      <c r="R24" s="21"/>
      <c r="S24" s="21"/>
      <c r="T24" s="21"/>
      <c r="U24" s="73" t="str">
        <f>IFERROR(VLOOKUP(U23,'자율관 배정'!$B:$G,3,FALSE)&amp;"("&amp;VLOOKUP(U23,'자율관 배정'!$B:$F,2,FALSE)&amp;")","")</f>
        <v/>
      </c>
      <c r="V24" s="73" t="str">
        <f>IFERROR(VLOOKUP(V23,'자율관 배정'!$B:$G,3,FALSE)&amp;"("&amp;VLOOKUP(V23,'자율관 배정'!$B:$F,2,FALSE)&amp;")","")</f>
        <v>()</v>
      </c>
      <c r="W24" s="73" t="str">
        <f>IFERROR(VLOOKUP(W23,'자율관 배정'!$B:$G,3,FALSE)&amp;"("&amp;VLOOKUP(W23,'자율관 배정'!$B:$F,2,FALSE)&amp;")","")</f>
        <v/>
      </c>
      <c r="X24" s="73" t="str">
        <f>IFERROR(VLOOKUP(X23,'자율관 배정'!$B:$G,3,FALSE)&amp;"("&amp;VLOOKUP(X23,'자율관 배정'!$B:$F,2,FALSE)&amp;")","")</f>
        <v>()</v>
      </c>
      <c r="Y24" s="73" t="str">
        <f>IFERROR(VLOOKUP(Y23,'자율관 배정'!$B:$G,3,FALSE)&amp;"("&amp;VLOOKUP(Y23,'자율관 배정'!$B:$F,2,FALSE)&amp;")","")</f>
        <v/>
      </c>
      <c r="Z24" s="73" t="str">
        <f>IFERROR(VLOOKUP(Z23,'자율관 배정'!$B:$G,3,FALSE)&amp;"("&amp;VLOOKUP(Z23,'자율관 배정'!$B:$F,2,FALSE)&amp;")","")</f>
        <v>()</v>
      </c>
      <c r="AA24" s="78"/>
      <c r="AB24" s="73" t="str">
        <f>IFERROR(VLOOKUP(AB23,'자율관 배정'!$B:$G,3,FALSE)&amp;"("&amp;VLOOKUP(AB23,'자율관 배정'!$B:$F,2,FALSE)&amp;")","")</f>
        <v/>
      </c>
      <c r="AC24" s="73" t="str">
        <f>IFERROR(VLOOKUP(AC23,'자율관 배정'!$B:$G,3,FALSE)&amp;"("&amp;VLOOKUP(AC23,'자율관 배정'!$B:$F,2,FALSE)&amp;")","")</f>
        <v>()</v>
      </c>
      <c r="AD24" s="73" t="str">
        <f>IFERROR(VLOOKUP(AD23,'자율관 배정'!$B:$G,3,FALSE)&amp;"("&amp;VLOOKUP(AD23,'자율관 배정'!$B:$F,2,FALSE)&amp;")","")</f>
        <v/>
      </c>
      <c r="AE24" s="73" t="str">
        <f>IFERROR(VLOOKUP(AE23,'자율관 배정'!$B:$G,3,FALSE)&amp;"("&amp;VLOOKUP(AE23,'자율관 배정'!$B:$F,2,FALSE)&amp;")","")</f>
        <v>()</v>
      </c>
      <c r="AF24" s="73" t="str">
        <f>IFERROR(VLOOKUP(AF23,'자율관 배정'!$B:$G,3,FALSE)&amp;"("&amp;VLOOKUP(AF23,'자율관 배정'!$B:$F,2,FALSE)&amp;")","")</f>
        <v/>
      </c>
    </row>
    <row r="25" spans="1:32" ht="17.25" thickBot="1" x14ac:dyDescent="0.35">
      <c r="A25" s="36"/>
      <c r="B25" s="168" t="s">
        <v>141</v>
      </c>
      <c r="C25" s="73" t="str">
        <f>IFERROR(VLOOKUP(B25,'자율관 배정'!$B:$G,3,FALSE)&amp;"("&amp;VLOOKUP(B25,'자율관 배정'!$B:$F,2,FALSE)&amp;")","")</f>
        <v/>
      </c>
      <c r="D25" s="52"/>
      <c r="E25" s="11" t="s">
        <v>173</v>
      </c>
      <c r="F25" s="11" t="s">
        <v>174</v>
      </c>
      <c r="G25" s="11" t="s">
        <v>175</v>
      </c>
      <c r="H25" s="78"/>
      <c r="I25" s="11" t="s">
        <v>176</v>
      </c>
      <c r="J25" s="11" t="s">
        <v>177</v>
      </c>
      <c r="K25" s="11" t="s">
        <v>178</v>
      </c>
      <c r="L25" s="11" t="s">
        <v>179</v>
      </c>
      <c r="M25" s="11" t="s">
        <v>180</v>
      </c>
      <c r="N25" s="11" t="s">
        <v>181</v>
      </c>
      <c r="O25" s="66"/>
      <c r="P25" s="12"/>
      <c r="Q25" s="20"/>
      <c r="R25" s="20"/>
      <c r="S25" s="20"/>
      <c r="T25" s="20"/>
      <c r="U25" s="56" t="s">
        <v>25</v>
      </c>
      <c r="V25" s="56" t="s">
        <v>26</v>
      </c>
      <c r="W25" s="56" t="s">
        <v>27</v>
      </c>
      <c r="X25" s="56" t="s">
        <v>28</v>
      </c>
      <c r="Y25" s="56" t="s">
        <v>29</v>
      </c>
      <c r="Z25" s="56" t="s">
        <v>30</v>
      </c>
      <c r="AA25" s="78"/>
      <c r="AB25" s="56" t="s">
        <v>31</v>
      </c>
      <c r="AC25" s="56" t="s">
        <v>32</v>
      </c>
      <c r="AD25" s="56" t="s">
        <v>33</v>
      </c>
      <c r="AE25" s="56" t="s">
        <v>34</v>
      </c>
      <c r="AF25" s="56" t="s">
        <v>35</v>
      </c>
    </row>
    <row r="26" spans="1:32" ht="17.25" thickBot="1" x14ac:dyDescent="0.35">
      <c r="A26" s="36"/>
      <c r="B26" s="168" t="s">
        <v>9</v>
      </c>
      <c r="C26" s="73" t="str">
        <f>IFERROR(VLOOKUP(B26,'자율관 배정'!$B:$G,3,FALSE)&amp;"("&amp;VLOOKUP(B26,'자율관 배정'!$B:$F,2,FALSE)&amp;")","")</f>
        <v>()</v>
      </c>
      <c r="D26" s="51"/>
      <c r="E26" s="73" t="str">
        <f>IFERROR(VLOOKUP(E25,'자율관 배정'!$B:$G,3,FALSE)&amp;"("&amp;VLOOKUP(E25,'자율관 배정'!$B:$F,2,FALSE)&amp;")","")</f>
        <v/>
      </c>
      <c r="F26" s="73" t="str">
        <f>IFERROR(VLOOKUP(F25,'자율관 배정'!$B:$G,3,FALSE)&amp;"("&amp;VLOOKUP(F25,'자율관 배정'!$B:$F,2,FALSE)&amp;")","")</f>
        <v>()</v>
      </c>
      <c r="G26" s="73" t="str">
        <f>IFERROR(VLOOKUP(G25,'자율관 배정'!$B:$G,3,FALSE)&amp;"("&amp;VLOOKUP(G25,'자율관 배정'!$B:$F,2,FALSE)&amp;")","")</f>
        <v/>
      </c>
      <c r="H26" s="79"/>
      <c r="I26" s="73" t="str">
        <f>IFERROR(VLOOKUP(I25,'자율관 배정'!$B:$G,3,FALSE)&amp;"("&amp;VLOOKUP(I25,'자율관 배정'!$B:$F,2,FALSE)&amp;")","")</f>
        <v>()</v>
      </c>
      <c r="J26" s="73" t="str">
        <f>IFERROR(VLOOKUP(J25,'자율관 배정'!$B:$G,3,FALSE)&amp;"("&amp;VLOOKUP(J25,'자율관 배정'!$B:$F,2,FALSE)&amp;")","")</f>
        <v/>
      </c>
      <c r="K26" s="73" t="str">
        <f>IFERROR(VLOOKUP(K25,'자율관 배정'!$B:$G,3,FALSE)&amp;"("&amp;VLOOKUP(K25,'자율관 배정'!$B:$F,2,FALSE)&amp;")","")</f>
        <v>()</v>
      </c>
      <c r="L26" s="73" t="str">
        <f>IFERROR(VLOOKUP(L25,'자율관 배정'!$B:$G,3,FALSE)&amp;"("&amp;VLOOKUP(L25,'자율관 배정'!$B:$F,2,FALSE)&amp;")","")</f>
        <v/>
      </c>
      <c r="M26" s="73" t="str">
        <f>IFERROR(VLOOKUP(M25,'자율관 배정'!$B:$G,3,FALSE)&amp;"("&amp;VLOOKUP(M25,'자율관 배정'!$B:$F,2,FALSE)&amp;")","")</f>
        <v>()</v>
      </c>
      <c r="N26" s="73" t="str">
        <f>IFERROR(VLOOKUP(N25,'자율관 배정'!$B:$G,3,FALSE)&amp;"("&amp;VLOOKUP(N25,'자율관 배정'!$B:$F,2,FALSE)&amp;")","")</f>
        <v/>
      </c>
      <c r="O26" s="66"/>
      <c r="P26" s="9"/>
      <c r="Q26" s="21"/>
      <c r="R26" s="21"/>
      <c r="S26" s="21"/>
      <c r="T26" s="500" t="s">
        <v>1</v>
      </c>
      <c r="U26" s="73" t="str">
        <f>IFERROR(VLOOKUP(U25,'자율관 배정'!$B:$G,3,FALSE)&amp;"("&amp;VLOOKUP(U25,'자율관 배정'!$B:$F,2,FALSE)&amp;")","")</f>
        <v>()</v>
      </c>
      <c r="V26" s="73" t="str">
        <f>IFERROR(VLOOKUP(V25,'자율관 배정'!$B:$G,3,FALSE)&amp;"("&amp;VLOOKUP(V25,'자율관 배정'!$B:$F,2,FALSE)&amp;")","")</f>
        <v/>
      </c>
      <c r="W26" s="73" t="str">
        <f>IFERROR(VLOOKUP(W25,'자율관 배정'!$B:$G,3,FALSE)&amp;"("&amp;VLOOKUP(W25,'자율관 배정'!$B:$F,2,FALSE)&amp;")","")</f>
        <v>()</v>
      </c>
      <c r="X26" s="73" t="str">
        <f>IFERROR(VLOOKUP(X25,'자율관 배정'!$B:$G,3,FALSE)&amp;"("&amp;VLOOKUP(X25,'자율관 배정'!$B:$F,2,FALSE)&amp;")","")</f>
        <v/>
      </c>
      <c r="Y26" s="73" t="str">
        <f>IFERROR(VLOOKUP(Y25,'자율관 배정'!$B:$G,3,FALSE)&amp;"("&amp;VLOOKUP(Y25,'자율관 배정'!$B:$F,2,FALSE)&amp;")","")</f>
        <v>()</v>
      </c>
      <c r="Z26" s="73" t="str">
        <f>IFERROR(VLOOKUP(Z25,'자율관 배정'!$B:$G,3,FALSE)&amp;"("&amp;VLOOKUP(Z25,'자율관 배정'!$B:$F,2,FALSE)&amp;")","")</f>
        <v/>
      </c>
      <c r="AA26" s="79"/>
      <c r="AB26" s="73" t="str">
        <f>IFERROR(VLOOKUP(AB25,'자율관 배정'!$B:$G,3,FALSE)&amp;"("&amp;VLOOKUP(AB25,'자율관 배정'!$B:$F,2,FALSE)&amp;")","")</f>
        <v>()</v>
      </c>
      <c r="AC26" s="73" t="str">
        <f>IFERROR(VLOOKUP(AC25,'자율관 배정'!$B:$G,3,FALSE)&amp;"("&amp;VLOOKUP(AC25,'자율관 배정'!$B:$F,2,FALSE)&amp;")","")</f>
        <v/>
      </c>
      <c r="AD26" s="73" t="str">
        <f>IFERROR(VLOOKUP(AD25,'자율관 배정'!$B:$G,3,FALSE)&amp;"("&amp;VLOOKUP(AD25,'자율관 배정'!$B:$F,2,FALSE)&amp;")","")</f>
        <v>()</v>
      </c>
      <c r="AE26" s="73" t="str">
        <f>IFERROR(VLOOKUP(AE25,'자율관 배정'!$B:$G,3,FALSE)&amp;"("&amp;VLOOKUP(AE25,'자율관 배정'!$B:$F,2,FALSE)&amp;")","")</f>
        <v/>
      </c>
      <c r="AF26" s="73" t="str">
        <f>IFERROR(VLOOKUP(AF25,'자율관 배정'!$B:$G,3,FALSE)&amp;"("&amp;VLOOKUP(AF25,'자율관 배정'!$B:$F,2,FALSE)&amp;")","")</f>
        <v>()</v>
      </c>
    </row>
    <row r="27" spans="1:32" ht="17.25" thickBot="1" x14ac:dyDescent="0.35">
      <c r="A27" s="36"/>
      <c r="B27" s="168" t="s">
        <v>10</v>
      </c>
      <c r="C27" s="73" t="str">
        <f>IFERROR(VLOOKUP(B27,'자율관 배정'!$B:$G,3,FALSE)&amp;"("&amp;VLOOKUP(B27,'자율관 배정'!$B:$F,2,FALSE)&amp;")","")</f>
        <v/>
      </c>
      <c r="D27" s="52"/>
      <c r="E27" s="11" t="s">
        <v>182</v>
      </c>
      <c r="F27" s="11" t="s">
        <v>183</v>
      </c>
      <c r="G27" s="11" t="s">
        <v>184</v>
      </c>
      <c r="H27" s="78"/>
      <c r="I27" s="11" t="s">
        <v>185</v>
      </c>
      <c r="J27" s="11" t="s">
        <v>186</v>
      </c>
      <c r="K27" s="11" t="s">
        <v>187</v>
      </c>
      <c r="L27" s="11" t="s">
        <v>188</v>
      </c>
      <c r="M27" s="11" t="s">
        <v>189</v>
      </c>
      <c r="N27" s="11" t="s">
        <v>190</v>
      </c>
      <c r="O27" s="66"/>
      <c r="P27" s="65"/>
      <c r="Q27" s="20"/>
      <c r="R27" s="20"/>
      <c r="S27" s="20"/>
      <c r="T27" s="501"/>
      <c r="U27" s="7"/>
      <c r="V27" s="8"/>
      <c r="W27" s="8"/>
      <c r="X27" s="8"/>
      <c r="Y27" s="8"/>
      <c r="Z27" s="8"/>
      <c r="AA27" s="79"/>
      <c r="AB27" s="8"/>
      <c r="AC27" s="8"/>
      <c r="AD27" s="8"/>
      <c r="AE27" s="8"/>
      <c r="AF27" s="24"/>
    </row>
    <row r="28" spans="1:32" ht="17.25" thickBot="1" x14ac:dyDescent="0.35">
      <c r="A28" s="36"/>
      <c r="B28" s="168" t="s">
        <v>8</v>
      </c>
      <c r="C28" s="73" t="str">
        <f>IFERROR(VLOOKUP(B28,'자율관 배정'!$B:$G,3,FALSE)&amp;"("&amp;VLOOKUP(B28,'자율관 배정'!$B:$F,2,FALSE)&amp;")","")</f>
        <v>()</v>
      </c>
      <c r="D28" s="51"/>
      <c r="E28" s="73" t="str">
        <f>IFERROR(VLOOKUP(E27,'자율관 배정'!$B:$G,3,FALSE)&amp;"("&amp;VLOOKUP(E27,'자율관 배정'!$B:$F,2,FALSE)&amp;")","")</f>
        <v>()</v>
      </c>
      <c r="F28" s="73" t="str">
        <f>IFERROR(VLOOKUP(F27,'자율관 배정'!$B:$G,3,FALSE)&amp;"("&amp;VLOOKUP(F27,'자율관 배정'!$B:$F,2,FALSE)&amp;")","")</f>
        <v/>
      </c>
      <c r="G28" s="73" t="str">
        <f>IFERROR(VLOOKUP(G27,'자율관 배정'!$B:$G,3,FALSE)&amp;"("&amp;VLOOKUP(G27,'자율관 배정'!$B:$F,2,FALSE)&amp;")","")</f>
        <v>()</v>
      </c>
      <c r="H28" s="79"/>
      <c r="I28" s="73" t="str">
        <f>IFERROR(VLOOKUP(I27,'자율관 배정'!$B:$G,3,FALSE)&amp;"("&amp;VLOOKUP(I27,'자율관 배정'!$B:$F,2,FALSE)&amp;")","")</f>
        <v/>
      </c>
      <c r="J28" s="73" t="str">
        <f>IFERROR(VLOOKUP(J27,'자율관 배정'!$B:$G,3,FALSE)&amp;"("&amp;VLOOKUP(J27,'자율관 배정'!$B:$F,2,FALSE)&amp;")","")</f>
        <v>()</v>
      </c>
      <c r="K28" s="73" t="str">
        <f>IFERROR(VLOOKUP(K27,'자율관 배정'!$B:$G,3,FALSE)&amp;"("&amp;VLOOKUP(K27,'자율관 배정'!$B:$F,2,FALSE)&amp;")","")</f>
        <v/>
      </c>
      <c r="L28" s="73" t="str">
        <f>IFERROR(VLOOKUP(L27,'자율관 배정'!$B:$G,3,FALSE)&amp;"("&amp;VLOOKUP(L27,'자율관 배정'!$B:$F,2,FALSE)&amp;")","")</f>
        <v>()</v>
      </c>
      <c r="M28" s="73" t="str">
        <f>IFERROR(VLOOKUP(M27,'자율관 배정'!$B:$G,3,FALSE)&amp;"("&amp;VLOOKUP(M27,'자율관 배정'!$B:$F,2,FALSE)&amp;")","")</f>
        <v/>
      </c>
      <c r="N28" s="73" t="str">
        <f>IFERROR(VLOOKUP(N27,'자율관 배정'!$B:$G,3,FALSE)&amp;"("&amp;VLOOKUP(N27,'자율관 배정'!$B:$F,2,FALSE)&amp;")","")</f>
        <v>()</v>
      </c>
      <c r="O28" s="80"/>
      <c r="P28" s="497" t="s">
        <v>1</v>
      </c>
      <c r="Q28" s="20"/>
      <c r="R28" s="20"/>
      <c r="S28" s="20"/>
      <c r="T28" s="502"/>
      <c r="U28" s="56" t="s">
        <v>36</v>
      </c>
      <c r="V28" s="56" t="s">
        <v>37</v>
      </c>
      <c r="W28" s="56" t="s">
        <v>38</v>
      </c>
      <c r="X28" s="56" t="s">
        <v>39</v>
      </c>
      <c r="Y28" s="56" t="s">
        <v>40</v>
      </c>
      <c r="Z28" s="56" t="s">
        <v>41</v>
      </c>
      <c r="AA28" s="78"/>
      <c r="AB28" s="56" t="s">
        <v>42</v>
      </c>
      <c r="AC28" s="56" t="s">
        <v>43</v>
      </c>
      <c r="AD28" s="56" t="s">
        <v>44</v>
      </c>
      <c r="AE28" s="56" t="s">
        <v>45</v>
      </c>
      <c r="AF28" s="56" t="s">
        <v>46</v>
      </c>
    </row>
    <row r="29" spans="1:32" ht="17.25" thickBot="1" x14ac:dyDescent="0.35">
      <c r="A29" s="36"/>
      <c r="B29" s="492" t="s">
        <v>11</v>
      </c>
      <c r="C29" s="78"/>
      <c r="D29" s="47"/>
      <c r="E29" s="8"/>
      <c r="F29" s="8"/>
      <c r="G29" s="8"/>
      <c r="H29" s="78"/>
      <c r="I29" s="8"/>
      <c r="J29" s="8"/>
      <c r="K29" s="8"/>
      <c r="L29" s="8"/>
      <c r="M29" s="8"/>
      <c r="N29" s="8"/>
      <c r="O29" s="80"/>
      <c r="P29" s="498"/>
      <c r="Q29" s="12"/>
      <c r="R29" s="20"/>
      <c r="S29" s="20"/>
      <c r="T29" s="21"/>
      <c r="U29" s="73" t="str">
        <f>IFERROR(VLOOKUP(U28,'자율관 배정'!$B:$G,3,FALSE)&amp;"("&amp;VLOOKUP(U28,'자율관 배정'!$B:$F,2,FALSE)&amp;")","")</f>
        <v/>
      </c>
      <c r="V29" s="73" t="str">
        <f>IFERROR(VLOOKUP(V28,'자율관 배정'!$B:$G,3,FALSE)&amp;"("&amp;VLOOKUP(V28,'자율관 배정'!$B:$F,2,FALSE)&amp;")","")</f>
        <v>()</v>
      </c>
      <c r="W29" s="73" t="str">
        <f>IFERROR(VLOOKUP(W28,'자율관 배정'!$B:$G,3,FALSE)&amp;"("&amp;VLOOKUP(W28,'자율관 배정'!$B:$F,2,FALSE)&amp;")","")</f>
        <v/>
      </c>
      <c r="X29" s="73" t="str">
        <f>IFERROR(VLOOKUP(X28,'자율관 배정'!$B:$G,3,FALSE)&amp;"("&amp;VLOOKUP(X28,'자율관 배정'!$B:$F,2,FALSE)&amp;")","")</f>
        <v>()</v>
      </c>
      <c r="Y29" s="73" t="str">
        <f>IFERROR(VLOOKUP(Y28,'자율관 배정'!$B:$G,3,FALSE)&amp;"("&amp;VLOOKUP(Y28,'자율관 배정'!$B:$F,2,FALSE)&amp;")","")</f>
        <v/>
      </c>
      <c r="Z29" s="73" t="str">
        <f>IFERROR(VLOOKUP(Z28,'자율관 배정'!$B:$G,3,FALSE)&amp;"("&amp;VLOOKUP(Z28,'자율관 배정'!$B:$F,2,FALSE)&amp;")","")</f>
        <v>()</v>
      </c>
      <c r="AA29" s="79"/>
      <c r="AB29" s="73" t="str">
        <f>IFERROR(VLOOKUP(AB28,'자율관 배정'!$B:$G,3,FALSE)&amp;"("&amp;VLOOKUP(AB28,'자율관 배정'!$B:$F,2,FALSE)&amp;")","")</f>
        <v/>
      </c>
      <c r="AC29" s="73" t="str">
        <f>IFERROR(VLOOKUP(AC28,'자율관 배정'!$B:$G,3,FALSE)&amp;"("&amp;VLOOKUP(AC28,'자율관 배정'!$B:$F,2,FALSE)&amp;")","")</f>
        <v>()</v>
      </c>
      <c r="AD29" s="73" t="str">
        <f>IFERROR(VLOOKUP(AD28,'자율관 배정'!$B:$G,3,FALSE)&amp;"("&amp;VLOOKUP(AD28,'자율관 배정'!$B:$F,2,FALSE)&amp;")","")</f>
        <v/>
      </c>
      <c r="AE29" s="73" t="str">
        <f>IFERROR(VLOOKUP(AE28,'자율관 배정'!$B:$G,3,FALSE)&amp;"("&amp;VLOOKUP(AE28,'자율관 배정'!$B:$F,2,FALSE)&amp;")","")</f>
        <v>()</v>
      </c>
      <c r="AF29" s="73" t="str">
        <f>IFERROR(VLOOKUP(AF28,'자율관 배정'!$B:$G,3,FALSE)&amp;"("&amp;VLOOKUP(AF28,'자율관 배정'!$B:$F,2,FALSE)&amp;")","")</f>
        <v/>
      </c>
    </row>
    <row r="30" spans="1:32" x14ac:dyDescent="0.3">
      <c r="A30" s="36"/>
      <c r="B30" s="493"/>
      <c r="C30" s="78"/>
      <c r="D30" s="52"/>
      <c r="E30" s="11" t="s">
        <v>191</v>
      </c>
      <c r="F30" s="11" t="s">
        <v>192</v>
      </c>
      <c r="G30" s="11" t="s">
        <v>193</v>
      </c>
      <c r="H30" s="78"/>
      <c r="I30" s="78"/>
      <c r="J30" s="11" t="s">
        <v>194</v>
      </c>
      <c r="K30" s="11" t="s">
        <v>195</v>
      </c>
      <c r="L30" s="11" t="s">
        <v>196</v>
      </c>
      <c r="M30" s="11" t="s">
        <v>197</v>
      </c>
      <c r="N30" s="13"/>
      <c r="O30" s="22"/>
      <c r="P30" s="499"/>
      <c r="Q30" s="12"/>
      <c r="R30" s="12"/>
      <c r="S30" s="20"/>
      <c r="T30" s="20"/>
      <c r="U30" s="56" t="s">
        <v>47</v>
      </c>
      <c r="V30" s="56" t="s">
        <v>48</v>
      </c>
      <c r="W30" s="56" t="s">
        <v>49</v>
      </c>
      <c r="X30" s="56" t="s">
        <v>50</v>
      </c>
      <c r="Y30" s="56" t="s">
        <v>51</v>
      </c>
      <c r="Z30" s="56" t="s">
        <v>52</v>
      </c>
      <c r="AA30" s="78"/>
      <c r="AB30" s="56" t="s">
        <v>53</v>
      </c>
      <c r="AC30" s="78"/>
      <c r="AD30" s="78"/>
      <c r="AE30" s="56" t="s">
        <v>54</v>
      </c>
      <c r="AF30" s="56" t="s">
        <v>55</v>
      </c>
    </row>
    <row r="31" spans="1:32" ht="17.25" thickBot="1" x14ac:dyDescent="0.35">
      <c r="A31" s="36"/>
      <c r="B31" s="493"/>
      <c r="C31" s="78"/>
      <c r="D31" s="51"/>
      <c r="E31" s="73" t="str">
        <f>IFERROR(VLOOKUP(E30,'자율관 배정'!$B:$G,3,FALSE)&amp;"("&amp;VLOOKUP(E30,'자율관 배정'!$B:$F,2,FALSE)&amp;")","")</f>
        <v/>
      </c>
      <c r="F31" s="73" t="str">
        <f>IFERROR(VLOOKUP(F30,'자율관 배정'!$B:$G,3,FALSE)&amp;"("&amp;VLOOKUP(F30,'자율관 배정'!$B:$F,2,FALSE)&amp;")","")</f>
        <v>()</v>
      </c>
      <c r="G31" s="73" t="str">
        <f>IFERROR(VLOOKUP(G30,'자율관 배정'!$B:$G,3,FALSE)&amp;"("&amp;VLOOKUP(G30,'자율관 배정'!$B:$F,2,FALSE)&amp;")","")</f>
        <v/>
      </c>
      <c r="H31" s="79"/>
      <c r="I31" s="79"/>
      <c r="J31" s="73" t="str">
        <f>IFERROR(VLOOKUP(J30,'자율관 배정'!$B:$G,3,FALSE)&amp;"("&amp;VLOOKUP(J30,'자율관 배정'!$B:$F,2,FALSE)&amp;")","")</f>
        <v/>
      </c>
      <c r="K31" s="73" t="str">
        <f>IFERROR(VLOOKUP(K30,'자율관 배정'!$B:$G,3,FALSE)&amp;"("&amp;VLOOKUP(K30,'자율관 배정'!$B:$F,2,FALSE)&amp;")","")</f>
        <v>()</v>
      </c>
      <c r="L31" s="73" t="str">
        <f>IFERROR(VLOOKUP(L30,'자율관 배정'!$B:$G,3,FALSE)&amp;"("&amp;VLOOKUP(L30,'자율관 배정'!$B:$F,2,FALSE)&amp;")","")</f>
        <v/>
      </c>
      <c r="M31" s="73" t="str">
        <f>IFERROR(VLOOKUP(M30,'자율관 배정'!$B:$G,3,FALSE)&amp;"("&amp;VLOOKUP(M30,'자율관 배정'!$B:$F,2,FALSE)&amp;")","")</f>
        <v>()</v>
      </c>
      <c r="N31" s="16"/>
      <c r="O31" s="10"/>
      <c r="P31" s="9"/>
      <c r="R31" s="9"/>
      <c r="S31" s="21"/>
      <c r="T31" s="2"/>
      <c r="U31" s="73" t="str">
        <f>IFERROR(VLOOKUP(U30,'자율관 배정'!$B:$G,3,FALSE)&amp;"("&amp;VLOOKUP(U30,'자율관 배정'!$B:$F,2,FALSE)&amp;")","")</f>
        <v>()</v>
      </c>
      <c r="V31" s="73" t="str">
        <f>IFERROR(VLOOKUP(V30,'자율관 배정'!$B:$G,3,FALSE)&amp;"("&amp;VLOOKUP(V30,'자율관 배정'!$B:$F,2,FALSE)&amp;")","")</f>
        <v/>
      </c>
      <c r="W31" s="73" t="str">
        <f>IFERROR(VLOOKUP(W30,'자율관 배정'!$B:$G,3,FALSE)&amp;"("&amp;VLOOKUP(W30,'자율관 배정'!$B:$F,2,FALSE)&amp;")","")</f>
        <v>()</v>
      </c>
      <c r="X31" s="73" t="str">
        <f>IFERROR(VLOOKUP(X30,'자율관 배정'!$B:$G,3,FALSE)&amp;"("&amp;VLOOKUP(X30,'자율관 배정'!$B:$F,2,FALSE)&amp;")","")</f>
        <v/>
      </c>
      <c r="Y31" s="73" t="str">
        <f>IFERROR(VLOOKUP(Y30,'자율관 배정'!$B:$G,3,FALSE)&amp;"("&amp;VLOOKUP(Y30,'자율관 배정'!$B:$F,2,FALSE)&amp;")","")</f>
        <v>()</v>
      </c>
      <c r="Z31" s="73" t="str">
        <f>IFERROR(VLOOKUP(Z30,'자율관 배정'!$B:$G,3,FALSE)&amp;"("&amp;VLOOKUP(Z30,'자율관 배정'!$B:$F,2,FALSE)&amp;")","")</f>
        <v/>
      </c>
      <c r="AA31" s="79"/>
      <c r="AB31" s="73" t="str">
        <f>IFERROR(VLOOKUP(AB30,'자율관 배정'!$B:$G,3,FALSE)&amp;"("&amp;VLOOKUP(AB30,'자율관 배정'!$B:$F,2,FALSE)&amp;")","")</f>
        <v>()</v>
      </c>
      <c r="AC31" s="79"/>
      <c r="AD31" s="79"/>
      <c r="AE31" s="73" t="str">
        <f>IFERROR(VLOOKUP(AE30,'자율관 배정'!$B:$G,3,FALSE)&amp;"("&amp;VLOOKUP(AE30,'자율관 배정'!$B:$F,2,FALSE)&amp;")","")</f>
        <v/>
      </c>
      <c r="AF31" s="73" t="str">
        <f>IFERROR(VLOOKUP(AF30,'자율관 배정'!$B:$G,3,FALSE)&amp;"("&amp;VLOOKUP(AF30,'자율관 배정'!$B:$F,2,FALSE)&amp;")","")</f>
        <v>()</v>
      </c>
    </row>
    <row r="32" spans="1:32" ht="17.45" customHeight="1" thickBot="1" x14ac:dyDescent="0.35">
      <c r="A32" s="36"/>
      <c r="B32" s="493"/>
      <c r="C32" s="78"/>
      <c r="D32" s="52"/>
      <c r="E32" s="11" t="s">
        <v>198</v>
      </c>
      <c r="F32" s="11" t="s">
        <v>199</v>
      </c>
      <c r="G32" s="11" t="s">
        <v>200</v>
      </c>
      <c r="H32" s="78"/>
      <c r="I32" s="78"/>
      <c r="J32" s="11" t="s">
        <v>201</v>
      </c>
      <c r="K32" s="11" t="s">
        <v>202</v>
      </c>
      <c r="L32" s="11" t="s">
        <v>203</v>
      </c>
      <c r="M32" s="11" t="s">
        <v>204</v>
      </c>
      <c r="N32" s="13"/>
      <c r="O32" s="22"/>
      <c r="P32" s="20"/>
      <c r="T32" s="29"/>
      <c r="U32" s="27"/>
      <c r="V32" s="25"/>
      <c r="W32" s="25"/>
      <c r="X32" s="25"/>
      <c r="Y32" s="25"/>
      <c r="Z32" s="25"/>
      <c r="AA32" s="78"/>
      <c r="AB32" s="25"/>
      <c r="AC32" s="25"/>
      <c r="AD32" s="25"/>
      <c r="AE32" s="25"/>
      <c r="AF32" s="28"/>
    </row>
    <row r="33" spans="1:32" ht="17.45" customHeight="1" thickBot="1" x14ac:dyDescent="0.35">
      <c r="A33" s="36"/>
      <c r="B33" s="493"/>
      <c r="C33" s="78"/>
      <c r="D33" s="78"/>
      <c r="E33" s="73" t="str">
        <f>IFERROR(VLOOKUP(E32,'자율관 배정'!$B:$G,3,FALSE)&amp;"("&amp;VLOOKUP(E32,'자율관 배정'!$B:$F,2,FALSE)&amp;")","")</f>
        <v>()</v>
      </c>
      <c r="F33" s="73" t="str">
        <f>IFERROR(VLOOKUP(F32,'자율관 배정'!$B:$G,3,FALSE)&amp;"("&amp;VLOOKUP(F32,'자율관 배정'!$B:$F,2,FALSE)&amp;")","")</f>
        <v/>
      </c>
      <c r="G33" s="73" t="str">
        <f>IFERROR(VLOOKUP(G32,'자율관 배정'!$B:$G,3,FALSE)&amp;"("&amp;VLOOKUP(G32,'자율관 배정'!$B:$F,2,FALSE)&amp;")","")</f>
        <v>()</v>
      </c>
      <c r="H33" s="79"/>
      <c r="I33" s="79"/>
      <c r="J33" s="73" t="str">
        <f>IFERROR(VLOOKUP(J32,'자율관 배정'!$B:$G,3,FALSE)&amp;"("&amp;VLOOKUP(J32,'자율관 배정'!$B:$F,2,FALSE)&amp;")","")</f>
        <v>()</v>
      </c>
      <c r="K33" s="73" t="str">
        <f>IFERROR(VLOOKUP(K32,'자율관 배정'!$B:$G,3,FALSE)&amp;"("&amp;VLOOKUP(K32,'자율관 배정'!$B:$F,2,FALSE)&amp;")","")</f>
        <v/>
      </c>
      <c r="L33" s="73" t="str">
        <f>IFERROR(VLOOKUP(L32,'자율관 배정'!$B:$G,3,FALSE)&amp;"("&amp;VLOOKUP(L32,'자율관 배정'!$B:$F,2,FALSE)&amp;")","")</f>
        <v>()</v>
      </c>
      <c r="M33" s="73" t="str">
        <f>IFERROR(VLOOKUP(M32,'자율관 배정'!$B:$G,3,FALSE)&amp;"("&amp;VLOOKUP(M32,'자율관 배정'!$B:$F,2,FALSE)&amp;")","")</f>
        <v/>
      </c>
      <c r="N33" s="16"/>
      <c r="O33" s="26"/>
      <c r="P33" s="2"/>
      <c r="T33" s="20"/>
      <c r="U33" s="56" t="s">
        <v>56</v>
      </c>
      <c r="V33" s="56" t="s">
        <v>57</v>
      </c>
      <c r="W33" s="56" t="s">
        <v>58</v>
      </c>
      <c r="X33" s="56" t="s">
        <v>59</v>
      </c>
      <c r="Y33" s="56" t="s">
        <v>60</v>
      </c>
      <c r="Z33" s="56" t="s">
        <v>61</v>
      </c>
      <c r="AA33" s="78"/>
      <c r="AB33" s="56" t="s">
        <v>62</v>
      </c>
      <c r="AC33" s="56" t="s">
        <v>63</v>
      </c>
      <c r="AD33" s="56" t="s">
        <v>64</v>
      </c>
      <c r="AE33" s="56" t="s">
        <v>65</v>
      </c>
      <c r="AF33" s="56" t="s">
        <v>66</v>
      </c>
    </row>
    <row r="34" spans="1:32" ht="17.45" customHeight="1" thickBot="1" x14ac:dyDescent="0.35">
      <c r="A34" s="36"/>
      <c r="B34" s="494"/>
      <c r="C34" s="78"/>
      <c r="D34" s="78"/>
      <c r="E34" s="25"/>
      <c r="F34" s="25"/>
      <c r="G34" s="25"/>
      <c r="H34" s="78"/>
      <c r="I34" s="78"/>
      <c r="J34" s="25"/>
      <c r="K34" s="25"/>
      <c r="L34" s="25"/>
      <c r="M34" s="25"/>
      <c r="N34" s="25"/>
      <c r="O34" s="28"/>
      <c r="P34" s="1"/>
      <c r="T34" s="31"/>
      <c r="U34" s="73" t="str">
        <f>IFERROR(VLOOKUP(U33,'자율관 배정'!$B:$G,3,FALSE)&amp;"("&amp;VLOOKUP(U33,'자율관 배정'!$B:$F,2,FALSE)&amp;")","")</f>
        <v/>
      </c>
      <c r="V34" s="73" t="str">
        <f>IFERROR(VLOOKUP(V33,'자율관 배정'!$B:$G,3,FALSE)&amp;"("&amp;VLOOKUP(V33,'자율관 배정'!$B:$F,2,FALSE)&amp;")","")</f>
        <v>()</v>
      </c>
      <c r="W34" s="73" t="str">
        <f>IFERROR(VLOOKUP(W33,'자율관 배정'!$B:$G,3,FALSE)&amp;"("&amp;VLOOKUP(W33,'자율관 배정'!$B:$F,2,FALSE)&amp;")","")</f>
        <v/>
      </c>
      <c r="X34" s="73" t="str">
        <f>IFERROR(VLOOKUP(X33,'자율관 배정'!$B:$G,3,FALSE)&amp;"("&amp;VLOOKUP(X33,'자율관 배정'!$B:$F,2,FALSE)&amp;")","")</f>
        <v>()</v>
      </c>
      <c r="Y34" s="73" t="str">
        <f>IFERROR(VLOOKUP(Y33,'자율관 배정'!$B:$G,3,FALSE)&amp;"("&amp;VLOOKUP(Y33,'자율관 배정'!$B:$F,2,FALSE)&amp;")","")</f>
        <v/>
      </c>
      <c r="Z34" s="73" t="str">
        <f>IFERROR(VLOOKUP(Z33,'자율관 배정'!$B:$G,3,FALSE)&amp;"("&amp;VLOOKUP(Z33,'자율관 배정'!$B:$F,2,FALSE)&amp;")","")</f>
        <v>()</v>
      </c>
      <c r="AA34" s="79"/>
      <c r="AB34" s="73" t="str">
        <f>IFERROR(VLOOKUP(AB33,'자율관 배정'!$B:$G,3,FALSE)&amp;"("&amp;VLOOKUP(AB33,'자율관 배정'!$B:$F,2,FALSE)&amp;")","")</f>
        <v/>
      </c>
      <c r="AC34" s="73" t="str">
        <f>IFERROR(VLOOKUP(AC33,'자율관 배정'!$B:$G,3,FALSE)&amp;"("&amp;VLOOKUP(AC33,'자율관 배정'!$B:$F,2,FALSE)&amp;")","")</f>
        <v>()</v>
      </c>
      <c r="AD34" s="73" t="str">
        <f>IFERROR(VLOOKUP(AD33,'자율관 배정'!$B:$G,3,FALSE)&amp;"("&amp;VLOOKUP(AD33,'자율관 배정'!$B:$F,2,FALSE)&amp;")","")</f>
        <v/>
      </c>
      <c r="AE34" s="73" t="str">
        <f>IFERROR(VLOOKUP(AE33,'자율관 배정'!$B:$G,3,FALSE)&amp;"("&amp;VLOOKUP(AE33,'자율관 배정'!$B:$F,2,FALSE)&amp;")","")</f>
        <v>()</v>
      </c>
      <c r="AF34" s="73" t="str">
        <f>IFERROR(VLOOKUP(AF33,'자율관 배정'!$B:$G,3,FALSE)&amp;"("&amp;VLOOKUP(AF33,'자율관 배정'!$B:$F,2,FALSE)&amp;")","")</f>
        <v/>
      </c>
    </row>
    <row r="35" spans="1:32" ht="17.25" thickBot="1" x14ac:dyDescent="0.35">
      <c r="A35" s="36"/>
      <c r="B35" s="168" t="s">
        <v>142</v>
      </c>
      <c r="C35" s="73" t="str">
        <f>IFERROR(VLOOKUP(B35,'자율관 배정'!$B:$G,3,FALSE)&amp;"("&amp;VLOOKUP(B35,'자율관 배정'!$B:$F,2,FALSE)&amp;")","")</f>
        <v>()</v>
      </c>
      <c r="D35" s="78"/>
      <c r="E35" s="11" t="s">
        <v>205</v>
      </c>
      <c r="F35" s="11" t="s">
        <v>206</v>
      </c>
      <c r="G35" s="11" t="s">
        <v>207</v>
      </c>
      <c r="H35" s="78"/>
      <c r="I35" s="11" t="s">
        <v>208</v>
      </c>
      <c r="J35" s="11" t="s">
        <v>209</v>
      </c>
      <c r="K35" s="11" t="s">
        <v>210</v>
      </c>
      <c r="L35" s="11" t="s">
        <v>211</v>
      </c>
      <c r="M35" s="11" t="s">
        <v>212</v>
      </c>
      <c r="N35" s="11" t="s">
        <v>213</v>
      </c>
      <c r="O35" s="22"/>
      <c r="P35" s="20"/>
      <c r="Q35" s="20"/>
      <c r="R35" s="30"/>
      <c r="S35" s="20"/>
      <c r="T35" s="30"/>
      <c r="U35" s="56" t="s">
        <v>67</v>
      </c>
      <c r="V35" s="56" t="s">
        <v>68</v>
      </c>
      <c r="W35" s="56" t="s">
        <v>69</v>
      </c>
      <c r="X35" s="56" t="s">
        <v>70</v>
      </c>
      <c r="Y35" s="56" t="s">
        <v>71</v>
      </c>
      <c r="Z35" s="56" t="s">
        <v>72</v>
      </c>
      <c r="AA35" s="78"/>
      <c r="AB35" s="56" t="s">
        <v>73</v>
      </c>
      <c r="AC35" s="56" t="s">
        <v>74</v>
      </c>
      <c r="AD35" s="56" t="s">
        <v>75</v>
      </c>
      <c r="AE35" s="56" t="s">
        <v>76</v>
      </c>
      <c r="AF35" s="56" t="s">
        <v>77</v>
      </c>
    </row>
    <row r="36" spans="1:32" ht="17.25" thickBot="1" x14ac:dyDescent="0.35">
      <c r="A36" s="36"/>
      <c r="B36" s="168" t="s">
        <v>143</v>
      </c>
      <c r="C36" s="73" t="str">
        <f>IFERROR(VLOOKUP(B36,'자율관 배정'!$B:$G,3,FALSE)&amp;"("&amp;VLOOKUP(B36,'자율관 배정'!$B:$F,2,FALSE)&amp;")","")</f>
        <v/>
      </c>
      <c r="D36" s="78"/>
      <c r="E36" s="73" t="str">
        <f>IFERROR(VLOOKUP(E35,'자율관 배정'!$B:$G,3,FALSE)&amp;"("&amp;VLOOKUP(E35,'자율관 배정'!$B:$F,2,FALSE)&amp;")","")</f>
        <v/>
      </c>
      <c r="F36" s="73" t="str">
        <f>IFERROR(VLOOKUP(F35,'자율관 배정'!$B:$G,3,FALSE)&amp;"("&amp;VLOOKUP(F35,'자율관 배정'!$B:$F,2,FALSE)&amp;")","")</f>
        <v>()</v>
      </c>
      <c r="G36" s="73" t="str">
        <f>IFERROR(VLOOKUP(G35,'자율관 배정'!$B:$G,3,FALSE)&amp;"("&amp;VLOOKUP(G35,'자율관 배정'!$B:$F,2,FALSE)&amp;")","")</f>
        <v/>
      </c>
      <c r="H36" s="79"/>
      <c r="I36" s="73" t="str">
        <f>IFERROR(VLOOKUP(I35,'자율관 배정'!$B:$G,3,FALSE)&amp;"("&amp;VLOOKUP(I35,'자율관 배정'!$B:$F,2,FALSE)&amp;")","")</f>
        <v>()</v>
      </c>
      <c r="J36" s="73" t="str">
        <f>IFERROR(VLOOKUP(J35,'자율관 배정'!$B:$G,3,FALSE)&amp;"("&amp;VLOOKUP(J35,'자율관 배정'!$B:$F,2,FALSE)&amp;")","")</f>
        <v/>
      </c>
      <c r="K36" s="73" t="str">
        <f>IFERROR(VLOOKUP(K35,'자율관 배정'!$B:$G,3,FALSE)&amp;"("&amp;VLOOKUP(K35,'자율관 배정'!$B:$F,2,FALSE)&amp;")","")</f>
        <v>()</v>
      </c>
      <c r="L36" s="73" t="str">
        <f>IFERROR(VLOOKUP(L35,'자율관 배정'!$B:$G,3,FALSE)&amp;"("&amp;VLOOKUP(L35,'자율관 배정'!$B:$F,2,FALSE)&amp;")","")</f>
        <v/>
      </c>
      <c r="M36" s="73" t="str">
        <f>IFERROR(VLOOKUP(M35,'자율관 배정'!$B:$G,3,FALSE)&amp;"("&amp;VLOOKUP(M35,'자율관 배정'!$B:$F,2,FALSE)&amp;")","")</f>
        <v>()</v>
      </c>
      <c r="N36" s="73" t="str">
        <f>IFERROR(VLOOKUP(N35,'자율관 배정'!$B:$G,3,FALSE)&amp;"("&amp;VLOOKUP(N35,'자율관 배정'!$B:$F,2,FALSE)&amp;")","")</f>
        <v/>
      </c>
      <c r="O36" s="10"/>
      <c r="P36" s="21"/>
      <c r="Q36" s="21"/>
      <c r="R36" s="21"/>
      <c r="S36" s="21"/>
      <c r="T36" s="21"/>
      <c r="U36" s="73" t="str">
        <f>IFERROR(VLOOKUP(U35,'자율관 배정'!$B:$G,3,FALSE)&amp;"("&amp;VLOOKUP(U35,'자율관 배정'!$B:$F,2,FALSE)&amp;")","")</f>
        <v>()</v>
      </c>
      <c r="V36" s="73" t="str">
        <f>IFERROR(VLOOKUP(V35,'자율관 배정'!$B:$G,3,FALSE)&amp;"("&amp;VLOOKUP(V35,'자율관 배정'!$B:$F,2,FALSE)&amp;")","")</f>
        <v/>
      </c>
      <c r="W36" s="73" t="str">
        <f>IFERROR(VLOOKUP(W35,'자율관 배정'!$B:$G,3,FALSE)&amp;"("&amp;VLOOKUP(W35,'자율관 배정'!$B:$F,2,FALSE)&amp;")","")</f>
        <v>()</v>
      </c>
      <c r="X36" s="73" t="str">
        <f>IFERROR(VLOOKUP(X35,'자율관 배정'!$B:$G,3,FALSE)&amp;"("&amp;VLOOKUP(X35,'자율관 배정'!$B:$F,2,FALSE)&amp;")","")</f>
        <v/>
      </c>
      <c r="Y36" s="73" t="str">
        <f>IFERROR(VLOOKUP(Y35,'자율관 배정'!$B:$G,3,FALSE)&amp;"("&amp;VLOOKUP(Y35,'자율관 배정'!$B:$F,2,FALSE)&amp;")","")</f>
        <v>()</v>
      </c>
      <c r="Z36" s="73" t="str">
        <f>IFERROR(VLOOKUP(Z35,'자율관 배정'!$B:$G,3,FALSE)&amp;"("&amp;VLOOKUP(Z35,'자율관 배정'!$B:$F,2,FALSE)&amp;")","")</f>
        <v/>
      </c>
      <c r="AA36" s="79"/>
      <c r="AB36" s="73" t="str">
        <f>IFERROR(VLOOKUP(AB35,'자율관 배정'!$B:$G,3,FALSE)&amp;"("&amp;VLOOKUP(AB35,'자율관 배정'!$B:$F,2,FALSE)&amp;")","")</f>
        <v>()</v>
      </c>
      <c r="AC36" s="73" t="str">
        <f>IFERROR(VLOOKUP(AC35,'자율관 배정'!$B:$G,3,FALSE)&amp;"("&amp;VLOOKUP(AC35,'자율관 배정'!$B:$F,2,FALSE)&amp;")","")</f>
        <v/>
      </c>
      <c r="AD36" s="73" t="str">
        <f>IFERROR(VLOOKUP(AD35,'자율관 배정'!$B:$G,3,FALSE)&amp;"("&amp;VLOOKUP(AD35,'자율관 배정'!$B:$F,2,FALSE)&amp;")","")</f>
        <v>()</v>
      </c>
      <c r="AE36" s="73" t="str">
        <f>IFERROR(VLOOKUP(AE35,'자율관 배정'!$B:$G,3,FALSE)&amp;"("&amp;VLOOKUP(AE35,'자율관 배정'!$B:$F,2,FALSE)&amp;")","")</f>
        <v/>
      </c>
      <c r="AF36" s="73" t="str">
        <f>IFERROR(VLOOKUP(AF35,'자율관 배정'!$B:$G,3,FALSE)&amp;"("&amp;VLOOKUP(AF35,'자율관 배정'!$B:$F,2,FALSE)&amp;")","")</f>
        <v>()</v>
      </c>
    </row>
    <row r="37" spans="1:32" ht="17.25" thickBot="1" x14ac:dyDescent="0.35">
      <c r="A37" s="36"/>
      <c r="B37" s="168" t="s">
        <v>144</v>
      </c>
      <c r="C37" s="73" t="str">
        <f>IFERROR(VLOOKUP(B37,'자율관 배정'!$B:$G,3,FALSE)&amp;"("&amp;VLOOKUP(B37,'자율관 배정'!$B:$F,2,FALSE)&amp;")","")</f>
        <v>()</v>
      </c>
      <c r="D37" s="78"/>
      <c r="E37" s="11" t="s">
        <v>214</v>
      </c>
      <c r="F37" s="11" t="s">
        <v>215</v>
      </c>
      <c r="G37" s="11" t="s">
        <v>216</v>
      </c>
      <c r="H37" s="78"/>
      <c r="I37" s="11" t="s">
        <v>217</v>
      </c>
      <c r="J37" s="11" t="s">
        <v>218</v>
      </c>
      <c r="K37" s="11" t="s">
        <v>219</v>
      </c>
      <c r="L37" s="11" t="s">
        <v>220</v>
      </c>
      <c r="M37" s="11" t="s">
        <v>221</v>
      </c>
      <c r="N37" s="11" t="s">
        <v>222</v>
      </c>
      <c r="O37" s="22"/>
      <c r="P37" s="20"/>
      <c r="Q37" s="20"/>
      <c r="R37" s="20"/>
      <c r="S37" s="20"/>
      <c r="T37" s="21"/>
      <c r="U37" s="23"/>
      <c r="V37" s="8"/>
      <c r="W37" s="8"/>
      <c r="X37" s="8"/>
      <c r="Y37" s="8"/>
      <c r="Z37" s="8"/>
      <c r="AA37" s="78"/>
      <c r="AB37" s="25"/>
      <c r="AC37" s="25"/>
      <c r="AD37" s="25"/>
      <c r="AE37" s="25"/>
      <c r="AF37" s="28"/>
    </row>
    <row r="38" spans="1:32" ht="17.25" thickBot="1" x14ac:dyDescent="0.35">
      <c r="A38" s="36"/>
      <c r="B38" s="168" t="s">
        <v>145</v>
      </c>
      <c r="C38" s="73" t="str">
        <f>IFERROR(VLOOKUP(B38,'자율관 배정'!$B:$G,3,FALSE)&amp;"("&amp;VLOOKUP(B38,'자율관 배정'!$B:$F,2,FALSE)&amp;")","")</f>
        <v/>
      </c>
      <c r="D38" s="78"/>
      <c r="E38" s="73" t="str">
        <f>IFERROR(VLOOKUP(E37,'자율관 배정'!$B:$G,3,FALSE)&amp;"("&amp;VLOOKUP(E37,'자율관 배정'!$B:$F,2,FALSE)&amp;")","")</f>
        <v>()</v>
      </c>
      <c r="F38" s="73" t="str">
        <f>IFERROR(VLOOKUP(F37,'자율관 배정'!$B:$G,3,FALSE)&amp;"("&amp;VLOOKUP(F37,'자율관 배정'!$B:$F,2,FALSE)&amp;")","")</f>
        <v/>
      </c>
      <c r="G38" s="73" t="str">
        <f>IFERROR(VLOOKUP(G37,'자율관 배정'!$B:$G,3,FALSE)&amp;"("&amp;VLOOKUP(G37,'자율관 배정'!$B:$F,2,FALSE)&amp;")","")</f>
        <v>()</v>
      </c>
      <c r="H38" s="79"/>
      <c r="I38" s="73" t="str">
        <f>IFERROR(VLOOKUP(I37,'자율관 배정'!$B:$G,3,FALSE)&amp;"("&amp;VLOOKUP(I37,'자율관 배정'!$B:$F,2,FALSE)&amp;")","")</f>
        <v/>
      </c>
      <c r="J38" s="73" t="str">
        <f>IFERROR(VLOOKUP(J37,'자율관 배정'!$B:$G,3,FALSE)&amp;"("&amp;VLOOKUP(J37,'자율관 배정'!$B:$F,2,FALSE)&amp;")","")</f>
        <v>()</v>
      </c>
      <c r="K38" s="73" t="str">
        <f>IFERROR(VLOOKUP(K37,'자율관 배정'!$B:$G,3,FALSE)&amp;"("&amp;VLOOKUP(K37,'자율관 배정'!$B:$F,2,FALSE)&amp;")","")</f>
        <v/>
      </c>
      <c r="L38" s="73" t="str">
        <f>IFERROR(VLOOKUP(L37,'자율관 배정'!$B:$G,3,FALSE)&amp;"("&amp;VLOOKUP(L37,'자율관 배정'!$B:$F,2,FALSE)&amp;")","")</f>
        <v>()</v>
      </c>
      <c r="M38" s="73" t="str">
        <f>IFERROR(VLOOKUP(M37,'자율관 배정'!$B:$G,3,FALSE)&amp;"("&amp;VLOOKUP(M37,'자율관 배정'!$B:$F,2,FALSE)&amp;")","")</f>
        <v/>
      </c>
      <c r="N38" s="73" t="str">
        <f>IFERROR(VLOOKUP(N37,'자율관 배정'!$B:$G,3,FALSE)&amp;"("&amp;VLOOKUP(N37,'자율관 배정'!$B:$F,2,FALSE)&amp;")","")</f>
        <v>()</v>
      </c>
      <c r="O38" s="10"/>
      <c r="P38" s="21"/>
      <c r="Q38" s="21"/>
      <c r="R38" s="21"/>
      <c r="S38" s="21"/>
      <c r="T38" s="20"/>
      <c r="U38" s="56" t="s">
        <v>78</v>
      </c>
      <c r="V38" s="56" t="s">
        <v>79</v>
      </c>
      <c r="W38" s="56" t="s">
        <v>80</v>
      </c>
      <c r="X38" s="56" t="s">
        <v>81</v>
      </c>
      <c r="Y38" s="56" t="s">
        <v>82</v>
      </c>
      <c r="Z38" s="56" t="s">
        <v>83</v>
      </c>
      <c r="AA38" s="78"/>
      <c r="AB38" s="56" t="s">
        <v>84</v>
      </c>
      <c r="AC38" s="56" t="s">
        <v>85</v>
      </c>
      <c r="AD38" s="56" t="s">
        <v>86</v>
      </c>
      <c r="AE38" s="56" t="s">
        <v>87</v>
      </c>
      <c r="AF38" s="56" t="s">
        <v>88</v>
      </c>
    </row>
    <row r="39" spans="1:32" ht="17.25" thickBot="1" x14ac:dyDescent="0.35">
      <c r="A39" s="36"/>
      <c r="B39" s="168" t="s">
        <v>146</v>
      </c>
      <c r="C39" s="73" t="str">
        <f>IFERROR(VLOOKUP(B39,'자율관 배정'!$B:$G,3,FALSE)&amp;"("&amp;VLOOKUP(B39,'자율관 배정'!$B:$F,2,FALSE)&amp;")","")</f>
        <v>()</v>
      </c>
      <c r="D39" s="78"/>
      <c r="E39" s="8"/>
      <c r="F39" s="8"/>
      <c r="G39" s="8"/>
      <c r="H39" s="78"/>
      <c r="I39" s="8"/>
      <c r="J39" s="8"/>
      <c r="K39" s="8"/>
      <c r="L39" s="8"/>
      <c r="M39" s="8"/>
      <c r="N39" s="42"/>
      <c r="O39" s="24"/>
      <c r="Q39" s="32"/>
      <c r="R39" s="21"/>
      <c r="S39" s="32"/>
      <c r="T39" s="32"/>
      <c r="U39" s="73" t="str">
        <f>IFERROR(VLOOKUP(U38,'자율관 배정'!$B:$G,3,FALSE)&amp;"("&amp;VLOOKUP(U38,'자율관 배정'!$B:$F,2,FALSE)&amp;")","")</f>
        <v/>
      </c>
      <c r="V39" s="73" t="str">
        <f>IFERROR(VLOOKUP(V38,'자율관 배정'!$B:$G,3,FALSE)&amp;"("&amp;VLOOKUP(V38,'자율관 배정'!$B:$F,2,FALSE)&amp;")","")</f>
        <v>()</v>
      </c>
      <c r="W39" s="73" t="str">
        <f>IFERROR(VLOOKUP(W38,'자율관 배정'!$B:$G,3,FALSE)&amp;"("&amp;VLOOKUP(W38,'자율관 배정'!$B:$F,2,FALSE)&amp;")","")</f>
        <v/>
      </c>
      <c r="X39" s="73" t="str">
        <f>IFERROR(VLOOKUP(X38,'자율관 배정'!$B:$G,3,FALSE)&amp;"("&amp;VLOOKUP(X38,'자율관 배정'!$B:$F,2,FALSE)&amp;")","")</f>
        <v>()</v>
      </c>
      <c r="Y39" s="73" t="str">
        <f>IFERROR(VLOOKUP(Y38,'자율관 배정'!$B:$G,3,FALSE)&amp;"("&amp;VLOOKUP(Y38,'자율관 배정'!$B:$F,2,FALSE)&amp;")","")</f>
        <v/>
      </c>
      <c r="Z39" s="73" t="str">
        <f>IFERROR(VLOOKUP(Z38,'자율관 배정'!$B:$G,3,FALSE)&amp;"("&amp;VLOOKUP(Z38,'자율관 배정'!$B:$F,2,FALSE)&amp;")","")</f>
        <v>()</v>
      </c>
      <c r="AA39" s="78"/>
      <c r="AB39" s="73" t="str">
        <f>IFERROR(VLOOKUP(AB38,'자율관 배정'!$B:$G,3,FALSE)&amp;"("&amp;VLOOKUP(AB38,'자율관 배정'!$B:$F,2,FALSE)&amp;")","")</f>
        <v/>
      </c>
      <c r="AC39" s="73" t="str">
        <f>IFERROR(VLOOKUP(AC38,'자율관 배정'!$B:$G,3,FALSE)&amp;"("&amp;VLOOKUP(AC38,'자율관 배정'!$B:$F,2,FALSE)&amp;")","")</f>
        <v>()</v>
      </c>
      <c r="AD39" s="73" t="str">
        <f>IFERROR(VLOOKUP(AD38,'자율관 배정'!$B:$G,3,FALSE)&amp;"("&amp;VLOOKUP(AD38,'자율관 배정'!$B:$F,2,FALSE)&amp;")","")</f>
        <v/>
      </c>
      <c r="AE39" s="73" t="str">
        <f>IFERROR(VLOOKUP(AE38,'자율관 배정'!$B:$G,3,FALSE)&amp;"("&amp;VLOOKUP(AE38,'자율관 배정'!$B:$F,2,FALSE)&amp;")","")</f>
        <v>()</v>
      </c>
      <c r="AF39" s="73" t="str">
        <f>IFERROR(VLOOKUP(AF38,'자율관 배정'!$B:$G,3,FALSE)&amp;"("&amp;VLOOKUP(AF38,'자율관 배정'!$B:$F,2,FALSE)&amp;")","")</f>
        <v/>
      </c>
    </row>
    <row r="40" spans="1:32" ht="17.25" thickBot="1" x14ac:dyDescent="0.35">
      <c r="A40" s="36"/>
      <c r="B40" s="168" t="s">
        <v>147</v>
      </c>
      <c r="C40" s="73" t="str">
        <f>IFERROR(VLOOKUP(B40,'자율관 배정'!$B:$G,3,FALSE)&amp;"("&amp;VLOOKUP(B40,'자율관 배정'!$B:$F,2,FALSE)&amp;")","")</f>
        <v/>
      </c>
      <c r="D40" s="78"/>
      <c r="E40" s="11" t="s">
        <v>223</v>
      </c>
      <c r="F40" s="11" t="s">
        <v>224</v>
      </c>
      <c r="G40" s="11" t="s">
        <v>225</v>
      </c>
      <c r="H40" s="78"/>
      <c r="I40" s="11" t="s">
        <v>226</v>
      </c>
      <c r="J40" s="11" t="s">
        <v>227</v>
      </c>
      <c r="K40" s="11" t="s">
        <v>228</v>
      </c>
      <c r="L40" s="11" t="s">
        <v>229</v>
      </c>
      <c r="M40" s="11" t="s">
        <v>230</v>
      </c>
      <c r="N40" s="11" t="s">
        <v>231</v>
      </c>
      <c r="O40" s="22"/>
      <c r="Q40" s="20"/>
      <c r="R40" s="30"/>
      <c r="S40" s="20"/>
      <c r="T40" s="30"/>
      <c r="U40" s="56" t="s">
        <v>89</v>
      </c>
      <c r="V40" s="56" t="s">
        <v>90</v>
      </c>
      <c r="W40" s="56" t="s">
        <v>91</v>
      </c>
      <c r="X40" s="56" t="s">
        <v>92</v>
      </c>
      <c r="Y40" s="56" t="s">
        <v>93</v>
      </c>
      <c r="Z40" s="56" t="s">
        <v>94</v>
      </c>
      <c r="AA40" s="78"/>
      <c r="AB40" s="56" t="s">
        <v>95</v>
      </c>
      <c r="AC40" s="56" t="s">
        <v>96</v>
      </c>
      <c r="AD40" s="56" t="s">
        <v>97</v>
      </c>
      <c r="AE40" s="56" t="s">
        <v>98</v>
      </c>
      <c r="AF40" s="56" t="s">
        <v>99</v>
      </c>
    </row>
    <row r="41" spans="1:32" ht="17.25" thickBot="1" x14ac:dyDescent="0.35">
      <c r="A41" s="36"/>
      <c r="B41" s="168" t="s">
        <v>148</v>
      </c>
      <c r="C41" s="73" t="str">
        <f>IFERROR(VLOOKUP(B41,'자율관 배정'!$B:$G,3,FALSE)&amp;"("&amp;VLOOKUP(B41,'자율관 배정'!$B:$F,2,FALSE)&amp;")","")</f>
        <v>()</v>
      </c>
      <c r="D41" s="78"/>
      <c r="E41" s="73" t="str">
        <f>IFERROR(VLOOKUP(E40,'자율관 배정'!$B:$G,3,FALSE)&amp;"("&amp;VLOOKUP(E40,'자율관 배정'!$B:$F,2,FALSE)&amp;")","")</f>
        <v/>
      </c>
      <c r="F41" s="73" t="str">
        <f>IFERROR(VLOOKUP(F40,'자율관 배정'!$B:$G,3,FALSE)&amp;"("&amp;VLOOKUP(F40,'자율관 배정'!$B:$F,2,FALSE)&amp;")","")</f>
        <v>()</v>
      </c>
      <c r="G41" s="73" t="str">
        <f>IFERROR(VLOOKUP(G40,'자율관 배정'!$B:$G,3,FALSE)&amp;"("&amp;VLOOKUP(G40,'자율관 배정'!$B:$F,2,FALSE)&amp;")","")</f>
        <v/>
      </c>
      <c r="H41" s="79"/>
      <c r="I41" s="73" t="str">
        <f>IFERROR(VLOOKUP(I40,'자율관 배정'!$B:$G,3,FALSE)&amp;"("&amp;VLOOKUP(I40,'자율관 배정'!$B:$F,2,FALSE)&amp;")","")</f>
        <v>()</v>
      </c>
      <c r="J41" s="73" t="str">
        <f>IFERROR(VLOOKUP(J40,'자율관 배정'!$B:$G,3,FALSE)&amp;"("&amp;VLOOKUP(J40,'자율관 배정'!$B:$F,2,FALSE)&amp;")","")</f>
        <v/>
      </c>
      <c r="K41" s="73" t="str">
        <f>IFERROR(VLOOKUP(K40,'자율관 배정'!$B:$G,3,FALSE)&amp;"("&amp;VLOOKUP(K40,'자율관 배정'!$B:$F,2,FALSE)&amp;")","")</f>
        <v>()</v>
      </c>
      <c r="L41" s="73" t="str">
        <f>IFERROR(VLOOKUP(L40,'자율관 배정'!$B:$G,3,FALSE)&amp;"("&amp;VLOOKUP(L40,'자율관 배정'!$B:$F,2,FALSE)&amp;")","")</f>
        <v/>
      </c>
      <c r="M41" s="73" t="str">
        <f>IFERROR(VLOOKUP(M40,'자율관 배정'!$B:$G,3,FALSE)&amp;"("&amp;VLOOKUP(M40,'자율관 배정'!$B:$F,2,FALSE)&amp;")","")</f>
        <v>()</v>
      </c>
      <c r="N41" s="73" t="str">
        <f>IFERROR(VLOOKUP(N40,'자율관 배정'!$B:$G,3,FALSE)&amp;"("&amp;VLOOKUP(N40,'자율관 배정'!$B:$F,2,FALSE)&amp;")","")</f>
        <v/>
      </c>
      <c r="O41" s="10"/>
      <c r="Q41" s="21"/>
      <c r="R41" s="21"/>
      <c r="S41" s="21"/>
      <c r="T41" s="21"/>
      <c r="U41" s="73" t="str">
        <f>IFERROR(VLOOKUP(U40,'자율관 배정'!$B:$G,3,FALSE)&amp;"("&amp;VLOOKUP(U40,'자율관 배정'!$B:$F,2,FALSE)&amp;")","")</f>
        <v>()</v>
      </c>
      <c r="V41" s="73" t="str">
        <f>IFERROR(VLOOKUP(V40,'자율관 배정'!$B:$G,3,FALSE)&amp;"("&amp;VLOOKUP(V40,'자율관 배정'!$B:$F,2,FALSE)&amp;")","")</f>
        <v/>
      </c>
      <c r="W41" s="73" t="str">
        <f>IFERROR(VLOOKUP(W40,'자율관 배정'!$B:$G,3,FALSE)&amp;"("&amp;VLOOKUP(W40,'자율관 배정'!$B:$F,2,FALSE)&amp;")","")</f>
        <v>()</v>
      </c>
      <c r="X41" s="73" t="str">
        <f>IFERROR(VLOOKUP(X40,'자율관 배정'!$B:$G,3,FALSE)&amp;"("&amp;VLOOKUP(X40,'자율관 배정'!$B:$F,2,FALSE)&amp;")","")</f>
        <v/>
      </c>
      <c r="Y41" s="73" t="str">
        <f>IFERROR(VLOOKUP(Y40,'자율관 배정'!$B:$G,3,FALSE)&amp;"("&amp;VLOOKUP(Y40,'자율관 배정'!$B:$F,2,FALSE)&amp;")","")</f>
        <v>()</v>
      </c>
      <c r="Z41" s="73" t="str">
        <f>IFERROR(VLOOKUP(Z40,'자율관 배정'!$B:$G,3,FALSE)&amp;"("&amp;VLOOKUP(Z40,'자율관 배정'!$B:$F,2,FALSE)&amp;")","")</f>
        <v/>
      </c>
      <c r="AA41" s="78"/>
      <c r="AB41" s="73" t="str">
        <f>IFERROR(VLOOKUP(AB40,'자율관 배정'!$B:$G,3,FALSE)&amp;"("&amp;VLOOKUP(AB40,'자율관 배정'!$B:$F,2,FALSE)&amp;")","")</f>
        <v>()</v>
      </c>
      <c r="AC41" s="73" t="str">
        <f>IFERROR(VLOOKUP(AC40,'자율관 배정'!$B:$G,3,FALSE)&amp;"("&amp;VLOOKUP(AC40,'자율관 배정'!$B:$F,2,FALSE)&amp;")","")</f>
        <v/>
      </c>
      <c r="AD41" s="73" t="str">
        <f>IFERROR(VLOOKUP(AD40,'자율관 배정'!$B:$G,3,FALSE)&amp;"("&amp;VLOOKUP(AD40,'자율관 배정'!$B:$F,2,FALSE)&amp;")","")</f>
        <v>()</v>
      </c>
      <c r="AE41" s="73" t="str">
        <f>IFERROR(VLOOKUP(AE40,'자율관 배정'!$B:$G,3,FALSE)&amp;"("&amp;VLOOKUP(AE40,'자율관 배정'!$B:$F,2,FALSE)&amp;")","")</f>
        <v/>
      </c>
      <c r="AF41" s="73" t="str">
        <f>IFERROR(VLOOKUP(AF40,'자율관 배정'!$B:$G,3,FALSE)&amp;"("&amp;VLOOKUP(AF40,'자율관 배정'!$B:$F,2,FALSE)&amp;")","")</f>
        <v>()</v>
      </c>
    </row>
    <row r="42" spans="1:32" ht="17.25" thickBot="1" x14ac:dyDescent="0.35">
      <c r="A42" s="36"/>
      <c r="B42" s="168" t="s">
        <v>149</v>
      </c>
      <c r="C42" s="73" t="str">
        <f>IFERROR(VLOOKUP(B42,'자율관 배정'!$B:$G,3,FALSE)&amp;"("&amp;VLOOKUP(B42,'자율관 배정'!$B:$F,2,FALSE)&amp;")","")</f>
        <v/>
      </c>
      <c r="D42" s="78"/>
      <c r="E42" s="11" t="s">
        <v>232</v>
      </c>
      <c r="F42" s="11" t="s">
        <v>233</v>
      </c>
      <c r="G42" s="11" t="s">
        <v>234</v>
      </c>
      <c r="H42" s="78"/>
      <c r="I42" s="11" t="s">
        <v>235</v>
      </c>
      <c r="J42" s="11" t="s">
        <v>236</v>
      </c>
      <c r="K42" s="11" t="s">
        <v>237</v>
      </c>
      <c r="L42" s="11" t="s">
        <v>238</v>
      </c>
      <c r="M42" s="11" t="s">
        <v>239</v>
      </c>
      <c r="N42" s="11" t="s">
        <v>240</v>
      </c>
      <c r="O42" s="22"/>
      <c r="Q42" s="20"/>
      <c r="R42" s="20"/>
      <c r="S42" s="20"/>
      <c r="T42" s="21"/>
      <c r="U42" s="23"/>
      <c r="V42" s="25"/>
      <c r="W42" s="25"/>
      <c r="X42" s="25"/>
      <c r="Y42" s="25"/>
      <c r="Z42" s="25"/>
      <c r="AA42" s="78"/>
      <c r="AB42" s="8"/>
      <c r="AC42" s="8"/>
      <c r="AD42" s="8"/>
      <c r="AE42" s="8"/>
      <c r="AF42" s="24"/>
    </row>
    <row r="43" spans="1:32" ht="17.25" thickBot="1" x14ac:dyDescent="0.35">
      <c r="A43" s="36"/>
      <c r="B43" s="168" t="s">
        <v>150</v>
      </c>
      <c r="C43" s="73" t="str">
        <f>IFERROR(VLOOKUP(B43,'자율관 배정'!$B:$G,3,FALSE)&amp;"("&amp;VLOOKUP(B43,'자율관 배정'!$B:$F,2,FALSE)&amp;")","")</f>
        <v>()</v>
      </c>
      <c r="D43" s="78"/>
      <c r="E43" s="73" t="str">
        <f>IFERROR(VLOOKUP(E42,'자율관 배정'!$B:$G,3,FALSE)&amp;"("&amp;VLOOKUP(E42,'자율관 배정'!$B:$F,2,FALSE)&amp;")","")</f>
        <v>()</v>
      </c>
      <c r="F43" s="73" t="str">
        <f>IFERROR(VLOOKUP(F42,'자율관 배정'!$B:$G,3,FALSE)&amp;"("&amp;VLOOKUP(F42,'자율관 배정'!$B:$F,2,FALSE)&amp;")","")</f>
        <v/>
      </c>
      <c r="G43" s="73" t="str">
        <f>IFERROR(VLOOKUP(G42,'자율관 배정'!$B:$G,3,FALSE)&amp;"("&amp;VLOOKUP(G42,'자율관 배정'!$B:$F,2,FALSE)&amp;")","")</f>
        <v>()</v>
      </c>
      <c r="H43" s="79"/>
      <c r="I43" s="73" t="str">
        <f>IFERROR(VLOOKUP(I42,'자율관 배정'!$B:$G,3,FALSE)&amp;"("&amp;VLOOKUP(I42,'자율관 배정'!$B:$F,2,FALSE)&amp;")","")</f>
        <v/>
      </c>
      <c r="J43" s="73" t="str">
        <f>IFERROR(VLOOKUP(J42,'자율관 배정'!$B:$G,3,FALSE)&amp;"("&amp;VLOOKUP(J42,'자율관 배정'!$B:$F,2,FALSE)&amp;")","")</f>
        <v>()</v>
      </c>
      <c r="K43" s="73" t="str">
        <f>IFERROR(VLOOKUP(K42,'자율관 배정'!$B:$G,3,FALSE)&amp;"("&amp;VLOOKUP(K42,'자율관 배정'!$B:$F,2,FALSE)&amp;")","")</f>
        <v/>
      </c>
      <c r="L43" s="73" t="str">
        <f>IFERROR(VLOOKUP(L42,'자율관 배정'!$B:$G,3,FALSE)&amp;"("&amp;VLOOKUP(L42,'자율관 배정'!$B:$F,2,FALSE)&amp;")","")</f>
        <v>()</v>
      </c>
      <c r="M43" s="73" t="str">
        <f>IFERROR(VLOOKUP(M42,'자율관 배정'!$B:$G,3,FALSE)&amp;"("&amp;VLOOKUP(M42,'자율관 배정'!$B:$F,2,FALSE)&amp;")","")</f>
        <v/>
      </c>
      <c r="N43" s="73" t="str">
        <f>IFERROR(VLOOKUP(N42,'자율관 배정'!$B:$G,3,FALSE)&amp;"("&amp;VLOOKUP(N42,'자율관 배정'!$B:$F,2,FALSE)&amp;")","")</f>
        <v>()</v>
      </c>
      <c r="O43" s="10"/>
      <c r="Q43" s="21"/>
      <c r="R43" s="21"/>
      <c r="S43" s="21"/>
      <c r="T43" s="20"/>
      <c r="U43" s="56" t="s">
        <v>100</v>
      </c>
      <c r="V43" s="56" t="s">
        <v>101</v>
      </c>
      <c r="W43" s="56" t="s">
        <v>102</v>
      </c>
      <c r="X43" s="56" t="s">
        <v>103</v>
      </c>
      <c r="Y43" s="56" t="s">
        <v>104</v>
      </c>
      <c r="Z43" s="56" t="s">
        <v>105</v>
      </c>
      <c r="AA43" s="78"/>
      <c r="AB43" s="56" t="s">
        <v>106</v>
      </c>
      <c r="AC43" s="78"/>
      <c r="AD43" s="78"/>
      <c r="AE43" s="56" t="s">
        <v>107</v>
      </c>
      <c r="AF43" s="56" t="s">
        <v>108</v>
      </c>
    </row>
    <row r="44" spans="1:32" ht="17.25" thickBot="1" x14ac:dyDescent="0.35">
      <c r="A44" s="36"/>
      <c r="B44" s="63" t="s">
        <v>11</v>
      </c>
      <c r="C44" s="64"/>
      <c r="D44" s="78"/>
      <c r="E44" s="8"/>
      <c r="F44" s="8"/>
      <c r="G44" s="8"/>
      <c r="H44" s="78"/>
      <c r="I44" s="8"/>
      <c r="J44" s="8"/>
      <c r="K44" s="8"/>
      <c r="L44" s="8"/>
      <c r="M44" s="8"/>
      <c r="N44" s="8"/>
      <c r="O44" s="24"/>
      <c r="Q44" s="32"/>
      <c r="R44" s="21"/>
      <c r="S44" s="32"/>
      <c r="T44" s="32"/>
      <c r="U44" s="73" t="str">
        <f>IFERROR(VLOOKUP(U43,'자율관 배정'!$B:$G,3,FALSE)&amp;"("&amp;VLOOKUP(U43,'자율관 배정'!$B:$F,2,FALSE)&amp;")","")</f>
        <v/>
      </c>
      <c r="V44" s="73" t="str">
        <f>IFERROR(VLOOKUP(V43,'자율관 배정'!$B:$G,3,FALSE)&amp;"("&amp;VLOOKUP(V43,'자율관 배정'!$B:$F,2,FALSE)&amp;")","")</f>
        <v>()</v>
      </c>
      <c r="W44" s="73" t="str">
        <f>IFERROR(VLOOKUP(W43,'자율관 배정'!$B:$G,3,FALSE)&amp;"("&amp;VLOOKUP(W43,'자율관 배정'!$B:$F,2,FALSE)&amp;")","")</f>
        <v/>
      </c>
      <c r="X44" s="73" t="str">
        <f>IFERROR(VLOOKUP(X43,'자율관 배정'!$B:$G,3,FALSE)&amp;"("&amp;VLOOKUP(X43,'자율관 배정'!$B:$F,2,FALSE)&amp;")","")</f>
        <v>()</v>
      </c>
      <c r="Y44" s="73" t="str">
        <f>IFERROR(VLOOKUP(Y43,'자율관 배정'!$B:$G,3,FALSE)&amp;"("&amp;VLOOKUP(Y43,'자율관 배정'!$B:$F,2,FALSE)&amp;")","")</f>
        <v/>
      </c>
      <c r="Z44" s="73" t="str">
        <f>IFERROR(VLOOKUP(Z43,'자율관 배정'!$B:$G,3,FALSE)&amp;"("&amp;VLOOKUP(Z43,'자율관 배정'!$B:$F,2,FALSE)&amp;")","")</f>
        <v>()</v>
      </c>
      <c r="AA44" s="78"/>
      <c r="AB44" s="73" t="str">
        <f>IFERROR(VLOOKUP(AB43,'자율관 배정'!$B:$G,3,FALSE)&amp;"("&amp;VLOOKUP(AB43,'자율관 배정'!$B:$F,2,FALSE)&amp;")","")</f>
        <v/>
      </c>
      <c r="AC44" s="78"/>
      <c r="AD44" s="78"/>
      <c r="AE44" s="73" t="str">
        <f>IFERROR(VLOOKUP(AE43,'자율관 배정'!$B:$G,3,FALSE)&amp;"("&amp;VLOOKUP(AE43,'자율관 배정'!$B:$F,2,FALSE)&amp;")","")</f>
        <v>()</v>
      </c>
      <c r="AF44" s="73" t="str">
        <f>IFERROR(VLOOKUP(AF43,'자율관 배정'!$B:$G,3,FALSE)&amp;"("&amp;VLOOKUP(AF43,'자율관 배정'!$B:$F,2,FALSE)&amp;")","")</f>
        <v/>
      </c>
    </row>
    <row r="45" spans="1:32" ht="17.25" thickBot="1" x14ac:dyDescent="0.35">
      <c r="A45" s="36"/>
      <c r="B45" s="168" t="s">
        <v>151</v>
      </c>
      <c r="C45" s="73" t="str">
        <f>IFERROR(VLOOKUP(B45,'자율관 배정'!$B:$G,3,FALSE)&amp;"("&amp;VLOOKUP(B45,'자율관 배정'!$B:$F,2,FALSE)&amp;")","")</f>
        <v>()</v>
      </c>
      <c r="D45" s="78"/>
      <c r="E45" s="11" t="s">
        <v>241</v>
      </c>
      <c r="F45" s="11" t="s">
        <v>242</v>
      </c>
      <c r="G45" s="11" t="s">
        <v>243</v>
      </c>
      <c r="H45" s="78"/>
      <c r="I45" s="11" t="s">
        <v>244</v>
      </c>
      <c r="J45" s="11" t="s">
        <v>245</v>
      </c>
      <c r="K45" s="11" t="s">
        <v>246</v>
      </c>
      <c r="L45" s="11" t="s">
        <v>247</v>
      </c>
      <c r="M45" s="33"/>
      <c r="N45" s="13"/>
      <c r="O45" s="22"/>
      <c r="P45" s="20"/>
      <c r="Q45" s="20"/>
      <c r="R45" s="30"/>
      <c r="S45" s="20"/>
      <c r="T45" s="30"/>
      <c r="U45" s="56" t="s">
        <v>109</v>
      </c>
      <c r="V45" s="56" t="s">
        <v>110</v>
      </c>
      <c r="W45" s="56" t="s">
        <v>111</v>
      </c>
      <c r="X45" s="56" t="s">
        <v>112</v>
      </c>
      <c r="Y45" s="56" t="s">
        <v>113</v>
      </c>
      <c r="Z45" s="56" t="s">
        <v>114</v>
      </c>
      <c r="AA45" s="78"/>
      <c r="AB45" s="56" t="s">
        <v>115</v>
      </c>
      <c r="AC45" s="56" t="s">
        <v>116</v>
      </c>
      <c r="AD45" s="56" t="s">
        <v>117</v>
      </c>
      <c r="AE45" s="56" t="s">
        <v>118</v>
      </c>
      <c r="AF45" s="56" t="s">
        <v>119</v>
      </c>
    </row>
    <row r="46" spans="1:32" ht="17.25" thickBot="1" x14ac:dyDescent="0.35">
      <c r="A46" s="36"/>
      <c r="B46" s="168" t="s">
        <v>152</v>
      </c>
      <c r="C46" s="73" t="str">
        <f>IFERROR(VLOOKUP(B46,'자율관 배정'!$B:$G,3,FALSE)&amp;"("&amp;VLOOKUP(B46,'자율관 배정'!$B:$F,2,FALSE)&amp;")","")</f>
        <v/>
      </c>
      <c r="D46" s="78"/>
      <c r="E46" s="73" t="str">
        <f>IFERROR(VLOOKUP(E45,'자율관 배정'!$B:$G,3,FALSE)&amp;"("&amp;VLOOKUP(E45,'자율관 배정'!$B:$F,2,FALSE)&amp;")","")</f>
        <v/>
      </c>
      <c r="F46" s="73" t="str">
        <f>IFERROR(VLOOKUP(F45,'자율관 배정'!$B:$G,3,FALSE)&amp;"("&amp;VLOOKUP(F45,'자율관 배정'!$B:$F,2,FALSE)&amp;")","")</f>
        <v>()</v>
      </c>
      <c r="G46" s="73" t="str">
        <f>IFERROR(VLOOKUP(G45,'자율관 배정'!$B:$G,3,FALSE)&amp;"("&amp;VLOOKUP(G45,'자율관 배정'!$B:$F,2,FALSE)&amp;")","")</f>
        <v/>
      </c>
      <c r="H46" s="79"/>
      <c r="I46" s="73" t="str">
        <f>IFERROR(VLOOKUP(I45,'자율관 배정'!$B:$G,3,FALSE)&amp;"("&amp;VLOOKUP(I45,'자율관 배정'!$B:$F,2,FALSE)&amp;")","")</f>
        <v>()</v>
      </c>
      <c r="J46" s="73" t="str">
        <f>IFERROR(VLOOKUP(J45,'자율관 배정'!$B:$G,3,FALSE)&amp;"("&amp;VLOOKUP(J45,'자율관 배정'!$B:$F,2,FALSE)&amp;")","")</f>
        <v/>
      </c>
      <c r="K46" s="73" t="str">
        <f>IFERROR(VLOOKUP(K45,'자율관 배정'!$B:$G,3,FALSE)&amp;"("&amp;VLOOKUP(K45,'자율관 배정'!$B:$F,2,FALSE)&amp;")","")</f>
        <v>()</v>
      </c>
      <c r="L46" s="73" t="str">
        <f>IFERROR(VLOOKUP(L45,'자율관 배정'!$B:$G,3,FALSE)&amp;"("&amp;VLOOKUP(L45,'자율관 배정'!$B:$F,2,FALSE)&amp;")","")</f>
        <v/>
      </c>
      <c r="M46" s="34"/>
      <c r="N46" s="16"/>
      <c r="O46" s="10"/>
      <c r="P46" s="21"/>
      <c r="Q46" s="21"/>
      <c r="R46" s="21"/>
      <c r="S46" s="21"/>
      <c r="T46" s="503" t="s">
        <v>1</v>
      </c>
      <c r="U46" s="73" t="str">
        <f>IFERROR(VLOOKUP(U45,'자율관 배정'!$B:$G,3,FALSE)&amp;"("&amp;VLOOKUP(U45,'자율관 배정'!$B:$F,2,FALSE)&amp;")","")</f>
        <v>()</v>
      </c>
      <c r="V46" s="73" t="str">
        <f>IFERROR(VLOOKUP(V45,'자율관 배정'!$B:$G,3,FALSE)&amp;"("&amp;VLOOKUP(V45,'자율관 배정'!$B:$F,2,FALSE)&amp;")","")</f>
        <v/>
      </c>
      <c r="W46" s="73" t="str">
        <f>IFERROR(VLOOKUP(W45,'자율관 배정'!$B:$G,3,FALSE)&amp;"("&amp;VLOOKUP(W45,'자율관 배정'!$B:$F,2,FALSE)&amp;")","")</f>
        <v>()</v>
      </c>
      <c r="X46" s="73" t="str">
        <f>IFERROR(VLOOKUP(X45,'자율관 배정'!$B:$G,3,FALSE)&amp;"("&amp;VLOOKUP(X45,'자율관 배정'!$B:$F,2,FALSE)&amp;")","")</f>
        <v/>
      </c>
      <c r="Y46" s="73" t="str">
        <f>IFERROR(VLOOKUP(Y45,'자율관 배정'!$B:$G,3,FALSE)&amp;"("&amp;VLOOKUP(Y45,'자율관 배정'!$B:$F,2,FALSE)&amp;")","")</f>
        <v>()</v>
      </c>
      <c r="Z46" s="73" t="str">
        <f>IFERROR(VLOOKUP(Z45,'자율관 배정'!$B:$G,3,FALSE)&amp;"("&amp;VLOOKUP(Z45,'자율관 배정'!$B:$F,2,FALSE)&amp;")","")</f>
        <v/>
      </c>
      <c r="AA46" s="78"/>
      <c r="AB46" s="73" t="str">
        <f>IFERROR(VLOOKUP(AB45,'자율관 배정'!$B:$G,3,FALSE)&amp;"("&amp;VLOOKUP(AB45,'자율관 배정'!$B:$F,2,FALSE)&amp;")","")</f>
        <v>()</v>
      </c>
      <c r="AC46" s="73" t="str">
        <f>IFERROR(VLOOKUP(AC45,'자율관 배정'!$B:$G,3,FALSE)&amp;"("&amp;VLOOKUP(AC45,'자율관 배정'!$B:$F,2,FALSE)&amp;")","")</f>
        <v/>
      </c>
      <c r="AD46" s="73" t="str">
        <f>IFERROR(VLOOKUP(AD45,'자율관 배정'!$B:$G,3,FALSE)&amp;"("&amp;VLOOKUP(AD45,'자율관 배정'!$B:$F,2,FALSE)&amp;")","")</f>
        <v>()</v>
      </c>
      <c r="AE46" s="73" t="str">
        <f>IFERROR(VLOOKUP(AE45,'자율관 배정'!$B:$G,3,FALSE)&amp;"("&amp;VLOOKUP(AE45,'자율관 배정'!$B:$F,2,FALSE)&amp;")","")</f>
        <v/>
      </c>
      <c r="AF46" s="73" t="str">
        <f>IFERROR(VLOOKUP(AF45,'자율관 배정'!$B:$G,3,FALSE)&amp;"("&amp;VLOOKUP(AF45,'자율관 배정'!$B:$F,2,FALSE)&amp;")","")</f>
        <v>()</v>
      </c>
    </row>
    <row r="47" spans="1:32" ht="17.25" thickBot="1" x14ac:dyDescent="0.35">
      <c r="A47" s="36"/>
      <c r="B47" s="168" t="s">
        <v>153</v>
      </c>
      <c r="C47" s="73" t="str">
        <f>IFERROR(VLOOKUP(B47,'자율관 배정'!$B:$G,3,FALSE)&amp;"("&amp;VLOOKUP(B47,'자율관 배정'!$B:$F,2,FALSE)&amp;")","")</f>
        <v>()</v>
      </c>
      <c r="D47" s="78"/>
      <c r="E47" s="11" t="s">
        <v>248</v>
      </c>
      <c r="F47" s="11" t="s">
        <v>249</v>
      </c>
      <c r="G47" s="11" t="s">
        <v>250</v>
      </c>
      <c r="H47" s="78"/>
      <c r="I47" s="11" t="s">
        <v>251</v>
      </c>
      <c r="J47" s="11" t="s">
        <v>252</v>
      </c>
      <c r="K47" s="11" t="s">
        <v>253</v>
      </c>
      <c r="L47" s="11" t="s">
        <v>254</v>
      </c>
      <c r="M47" s="33"/>
      <c r="N47" s="13"/>
      <c r="O47" s="22"/>
      <c r="P47" s="20"/>
      <c r="Q47" s="20"/>
      <c r="R47" s="20"/>
      <c r="S47" s="20"/>
      <c r="T47" s="504"/>
      <c r="U47" s="23"/>
      <c r="V47" s="8"/>
      <c r="W47" s="8"/>
      <c r="X47" s="8"/>
      <c r="Y47" s="8"/>
      <c r="Z47" s="8"/>
      <c r="AA47" s="78"/>
      <c r="AB47" s="8"/>
      <c r="AC47" s="8"/>
      <c r="AD47" s="8"/>
      <c r="AE47" s="8"/>
      <c r="AF47" s="24"/>
    </row>
    <row r="48" spans="1:32" ht="17.25" thickBot="1" x14ac:dyDescent="0.35">
      <c r="A48" s="36"/>
      <c r="B48" s="168" t="s">
        <v>154</v>
      </c>
      <c r="C48" s="73" t="str">
        <f>IFERROR(VLOOKUP(B48,'자율관 배정'!$B:$G,3,FALSE)&amp;"("&amp;VLOOKUP(B48,'자율관 배정'!$B:$F,2,FALSE)&amp;")","")</f>
        <v/>
      </c>
      <c r="D48" s="78"/>
      <c r="E48" s="73" t="str">
        <f>IFERROR(VLOOKUP(E47,'자율관 배정'!$B:$G,3,FALSE)&amp;"("&amp;VLOOKUP(E47,'자율관 배정'!$B:$F,2,FALSE)&amp;")","")</f>
        <v>()</v>
      </c>
      <c r="F48" s="73" t="str">
        <f>IFERROR(VLOOKUP(F47,'자율관 배정'!$B:$G,3,FALSE)&amp;"("&amp;VLOOKUP(F47,'자율관 배정'!$B:$F,2,FALSE)&amp;")","")</f>
        <v/>
      </c>
      <c r="G48" s="73" t="str">
        <f>IFERROR(VLOOKUP(G47,'자율관 배정'!$B:$G,3,FALSE)&amp;"("&amp;VLOOKUP(G47,'자율관 배정'!$B:$F,2,FALSE)&amp;")","")</f>
        <v>()</v>
      </c>
      <c r="H48" s="78"/>
      <c r="I48" s="73" t="str">
        <f>IFERROR(VLOOKUP(I47,'자율관 배정'!$B:$G,3,FALSE)&amp;"("&amp;VLOOKUP(I47,'자율관 배정'!$B:$F,2,FALSE)&amp;")","")</f>
        <v/>
      </c>
      <c r="J48" s="73" t="str">
        <f>IFERROR(VLOOKUP(J47,'자율관 배정'!$B:$G,3,FALSE)&amp;"("&amp;VLOOKUP(J47,'자율관 배정'!$B:$F,2,FALSE)&amp;")","")</f>
        <v>()</v>
      </c>
      <c r="K48" s="73" t="str">
        <f>IFERROR(VLOOKUP(K47,'자율관 배정'!$B:$G,3,FALSE)&amp;"("&amp;VLOOKUP(K47,'자율관 배정'!$B:$F,2,FALSE)&amp;")","")</f>
        <v/>
      </c>
      <c r="L48" s="73" t="str">
        <f>IFERROR(VLOOKUP(L47,'자율관 배정'!$B:$G,3,FALSE)&amp;"("&amp;VLOOKUP(L47,'자율관 배정'!$B:$F,2,FALSE)&amp;")","")</f>
        <v>()</v>
      </c>
      <c r="M48" s="34"/>
      <c r="N48" s="16"/>
      <c r="O48" s="10"/>
      <c r="P48" s="497" t="s">
        <v>1</v>
      </c>
      <c r="Q48" s="20"/>
      <c r="R48" s="20"/>
      <c r="S48" s="20"/>
      <c r="T48" s="505"/>
      <c r="U48" s="33"/>
      <c r="V48" s="166" t="s">
        <v>120</v>
      </c>
      <c r="W48" s="166" t="s">
        <v>121</v>
      </c>
      <c r="X48" s="166" t="s">
        <v>122</v>
      </c>
      <c r="Y48" s="166" t="s">
        <v>123</v>
      </c>
      <c r="Z48" s="166" t="s">
        <v>124</v>
      </c>
      <c r="AA48" s="78"/>
      <c r="AB48" s="56" t="s">
        <v>125</v>
      </c>
      <c r="AC48" s="56" t="s">
        <v>126</v>
      </c>
      <c r="AD48" s="56" t="s">
        <v>127</v>
      </c>
      <c r="AE48" s="56" t="s">
        <v>128</v>
      </c>
      <c r="AF48" s="56" t="s">
        <v>129</v>
      </c>
    </row>
    <row r="49" spans="1:33" ht="17.25" thickBot="1" x14ac:dyDescent="0.35">
      <c r="A49" s="36"/>
      <c r="B49" s="486"/>
      <c r="C49" s="489"/>
      <c r="D49" s="45"/>
      <c r="E49" s="9"/>
      <c r="F49" s="9"/>
      <c r="G49" s="9"/>
      <c r="H49" s="9"/>
      <c r="I49" s="9"/>
      <c r="J49" s="9"/>
      <c r="K49" s="9"/>
      <c r="L49" s="9"/>
      <c r="M49" s="9"/>
      <c r="N49" s="16"/>
      <c r="O49" s="80"/>
      <c r="P49" s="498"/>
      <c r="Q49" s="20"/>
      <c r="R49" s="20"/>
      <c r="S49" s="20"/>
      <c r="T49" s="21"/>
      <c r="U49" s="7"/>
      <c r="V49" s="73" t="str">
        <f>IFERROR(VLOOKUP(V48,'자율관 배정'!$B:$G,3,FALSE)&amp;"("&amp;VLOOKUP(V48,'자율관 배정'!$B:$F,2,FALSE)&amp;")","")</f>
        <v>()</v>
      </c>
      <c r="W49" s="73" t="str">
        <f>IFERROR(VLOOKUP(W48,'자율관 배정'!$B:$G,3,FALSE)&amp;"("&amp;VLOOKUP(W48,'자율관 배정'!$B:$F,2,FALSE)&amp;")","")</f>
        <v/>
      </c>
      <c r="X49" s="73" t="str">
        <f>IFERROR(VLOOKUP(X48,'자율관 배정'!$B:$G,3,FALSE)&amp;"("&amp;VLOOKUP(X48,'자율관 배정'!$B:$F,2,FALSE)&amp;")","")</f>
        <v>()</v>
      </c>
      <c r="Y49" s="73" t="str">
        <f>IFERROR(VLOOKUP(Y48,'자율관 배정'!$B:$G,3,FALSE)&amp;"("&amp;VLOOKUP(Y48,'자율관 배정'!$B:$F,2,FALSE)&amp;")","")</f>
        <v/>
      </c>
      <c r="Z49" s="73" t="str">
        <f>IFERROR(VLOOKUP(Z48,'자율관 배정'!$B:$G,3,FALSE)&amp;"("&amp;VLOOKUP(Z48,'자율관 배정'!$B:$F,2,FALSE)&amp;")","")</f>
        <v>()</v>
      </c>
      <c r="AA49" s="78"/>
      <c r="AB49" s="73" t="str">
        <f>IFERROR(VLOOKUP(AB48,'자율관 배정'!$B:$G,3,FALSE)&amp;"("&amp;VLOOKUP(AB48,'자율관 배정'!$B:$F,2,FALSE)&amp;")","")</f>
        <v/>
      </c>
      <c r="AC49" s="73" t="str">
        <f>IFERROR(VLOOKUP(AC48,'자율관 배정'!$B:$G,3,FALSE)&amp;"("&amp;VLOOKUP(AC48,'자율관 배정'!$B:$F,2,FALSE)&amp;")","")</f>
        <v>()</v>
      </c>
      <c r="AD49" s="73" t="str">
        <f>IFERROR(VLOOKUP(AD48,'자율관 배정'!$B:$G,3,FALSE)&amp;"("&amp;VLOOKUP(AD48,'자율관 배정'!$B:$F,2,FALSE)&amp;")","")</f>
        <v/>
      </c>
      <c r="AE49" s="73" t="str">
        <f>IFERROR(VLOOKUP(AE48,'자율관 배정'!$B:$G,3,FALSE)&amp;"("&amp;VLOOKUP(AE48,'자율관 배정'!$B:$F,2,FALSE)&amp;")","")</f>
        <v>()</v>
      </c>
      <c r="AF49" s="73" t="str">
        <f>IFERROR(VLOOKUP(AF48,'자율관 배정'!$B:$G,3,FALSE)&amp;"("&amp;VLOOKUP(AF48,'자율관 배정'!$B:$F,2,FALSE)&amp;")","")</f>
        <v/>
      </c>
    </row>
    <row r="50" spans="1:33" x14ac:dyDescent="0.3">
      <c r="A50" s="36"/>
      <c r="B50" s="487"/>
      <c r="C50" s="490"/>
      <c r="D50" s="45"/>
      <c r="E50" s="45"/>
      <c r="F50" s="43"/>
      <c r="G50" s="43"/>
      <c r="H50" s="78"/>
      <c r="I50" s="78"/>
      <c r="J50" s="78"/>
      <c r="K50" s="78"/>
      <c r="L50" s="78"/>
      <c r="M50" s="78"/>
      <c r="N50" s="16"/>
      <c r="O50" s="80"/>
      <c r="P50" s="499"/>
      <c r="Q50" s="20"/>
      <c r="R50" s="20"/>
      <c r="S50" s="20"/>
      <c r="T50" s="21"/>
      <c r="U50" s="23"/>
      <c r="V50" s="9"/>
      <c r="W50" s="9"/>
      <c r="X50" s="9"/>
      <c r="Y50" s="9"/>
      <c r="Z50" s="56" t="s">
        <v>130</v>
      </c>
      <c r="AA50" s="78"/>
      <c r="AB50" s="56" t="s">
        <v>131</v>
      </c>
      <c r="AC50" s="56" t="s">
        <v>132</v>
      </c>
      <c r="AD50" s="56" t="s">
        <v>133</v>
      </c>
      <c r="AE50" s="56" t="s">
        <v>134</v>
      </c>
      <c r="AF50" s="56" t="s">
        <v>135</v>
      </c>
    </row>
    <row r="51" spans="1:33" ht="17.25" thickBot="1" x14ac:dyDescent="0.35">
      <c r="A51" s="36"/>
      <c r="B51" s="488"/>
      <c r="C51" s="491"/>
      <c r="D51" s="49"/>
      <c r="E51" s="49"/>
      <c r="F51" s="48"/>
      <c r="G51" s="48"/>
      <c r="H51" s="57"/>
      <c r="I51" s="50"/>
      <c r="J51" s="50"/>
      <c r="K51" s="50"/>
      <c r="L51" s="50"/>
      <c r="M51" s="50"/>
      <c r="N51" s="50"/>
      <c r="O51" s="19"/>
      <c r="P51" s="9"/>
      <c r="Q51" s="21"/>
      <c r="R51" s="21"/>
      <c r="S51" s="21"/>
      <c r="T51" s="21"/>
      <c r="U51" s="67"/>
      <c r="V51" s="18"/>
      <c r="W51" s="18"/>
      <c r="X51" s="18"/>
      <c r="Y51" s="18"/>
      <c r="Z51" s="73" t="str">
        <f>IFERROR(VLOOKUP(Z50,'자율관 배정'!$B:$G,3,FALSE)&amp;"("&amp;VLOOKUP(Z50,'자율관 배정'!$B:$F,2,FALSE)&amp;")","")</f>
        <v/>
      </c>
      <c r="AA51" s="50"/>
      <c r="AB51" s="73" t="str">
        <f>IFERROR(VLOOKUP(AB50,'자율관 배정'!$B:$G,3,FALSE)&amp;"("&amp;VLOOKUP(AB50,'자율관 배정'!$B:$F,2,FALSE)&amp;")","")</f>
        <v>()</v>
      </c>
      <c r="AC51" s="73" t="str">
        <f>IFERROR(VLOOKUP(AC50,'자율관 배정'!$B:$G,3,FALSE)&amp;"("&amp;VLOOKUP(AC50,'자율관 배정'!$B:$F,2,FALSE)&amp;")","")</f>
        <v/>
      </c>
      <c r="AD51" s="73" t="str">
        <f>IFERROR(VLOOKUP(AD50,'자율관 배정'!$B:$G,3,FALSE)&amp;"("&amp;VLOOKUP(AD50,'자율관 배정'!$B:$F,2,FALSE)&amp;")","")</f>
        <v>()</v>
      </c>
      <c r="AE51" s="73" t="str">
        <f>IFERROR(VLOOKUP(AE50,'자율관 배정'!$B:$G,3,FALSE)&amp;"("&amp;VLOOKUP(AE50,'자율관 배정'!$B:$F,2,FALSE)&amp;")","")</f>
        <v/>
      </c>
      <c r="AF51" s="73" t="str">
        <f>IFERROR(VLOOKUP(AF50,'자율관 배정'!$B:$G,3,FALSE)&amp;"("&amp;VLOOKUP(AF50,'자율관 배정'!$B:$F,2,FALSE)&amp;")","")</f>
        <v>()</v>
      </c>
    </row>
    <row r="52" spans="1:33" x14ac:dyDescent="0.3">
      <c r="A52" s="36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470" t="s">
        <v>12</v>
      </c>
      <c r="Q52" s="471"/>
      <c r="R52" s="471"/>
      <c r="S52" s="471"/>
      <c r="T52" s="472"/>
      <c r="U52" s="21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</row>
    <row r="53" spans="1:33" ht="17.45" customHeight="1" x14ac:dyDescent="0.3">
      <c r="A53" s="36"/>
      <c r="C53" s="2"/>
      <c r="D53" s="2"/>
      <c r="J53" s="2"/>
      <c r="K53" s="2"/>
      <c r="L53" s="2"/>
      <c r="M53" s="2"/>
      <c r="N53" s="2"/>
      <c r="O53" s="2"/>
      <c r="P53" s="473"/>
      <c r="Q53" s="474"/>
      <c r="R53" s="474"/>
      <c r="S53" s="474"/>
      <c r="T53" s="475"/>
      <c r="U53" s="21"/>
    </row>
    <row r="54" spans="1:33" ht="17.45" customHeight="1" thickBot="1" x14ac:dyDescent="0.35">
      <c r="A54" s="36"/>
      <c r="M54"/>
      <c r="N54" s="36"/>
      <c r="P54" s="476"/>
      <c r="Q54" s="477"/>
      <c r="R54" s="477"/>
      <c r="S54" s="477"/>
      <c r="T54" s="478"/>
      <c r="U54" s="21"/>
      <c r="AG54" s="55"/>
    </row>
    <row r="55" spans="1:33" x14ac:dyDescent="0.3">
      <c r="U55" s="21"/>
    </row>
  </sheetData>
  <mergeCells count="15">
    <mergeCell ref="P52:T54"/>
    <mergeCell ref="B2:AF2"/>
    <mergeCell ref="U4:U19"/>
    <mergeCell ref="E19:I19"/>
    <mergeCell ref="AB19:AC19"/>
    <mergeCell ref="Q19:R19"/>
    <mergeCell ref="B49:B51"/>
    <mergeCell ref="C49:C51"/>
    <mergeCell ref="B29:B34"/>
    <mergeCell ref="Q20:R20"/>
    <mergeCell ref="AB20:AC20"/>
    <mergeCell ref="P28:P30"/>
    <mergeCell ref="T26:T28"/>
    <mergeCell ref="P48:P50"/>
    <mergeCell ref="T46:T48"/>
  </mergeCells>
  <phoneticPr fontId="6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6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X78"/>
  <sheetViews>
    <sheetView showGridLines="0" tabSelected="1" view="pageBreakPreview" topLeftCell="A2" zoomScale="70" zoomScaleNormal="55" zoomScaleSheetLayoutView="70" workbookViewId="0">
      <selection activeCell="L2" sqref="L2"/>
    </sheetView>
  </sheetViews>
  <sheetFormatPr defaultColWidth="9.125" defaultRowHeight="20.100000000000001" customHeight="1" x14ac:dyDescent="0.3"/>
  <cols>
    <col min="1" max="3" width="9.125" style="257"/>
    <col min="4" max="4" width="9.125" style="257" hidden="1" customWidth="1"/>
    <col min="5" max="18" width="9.125" style="257"/>
    <col min="19" max="19" width="9.625" style="257" customWidth="1"/>
    <col min="20" max="32" width="9.125" style="257"/>
    <col min="33" max="205" width="9.125" style="260"/>
    <col min="206" max="16384" width="9.125" style="257"/>
  </cols>
  <sheetData>
    <row r="1" spans="1:205" ht="36.75" hidden="1" customHeight="1" x14ac:dyDescent="0.3"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</row>
    <row r="2" spans="1:205" s="265" customFormat="1" ht="48.2" customHeight="1" x14ac:dyDescent="0.3">
      <c r="A2" s="523" t="s">
        <v>1506</v>
      </c>
      <c r="B2" s="523"/>
      <c r="C2" s="523"/>
      <c r="D2" s="523"/>
      <c r="E2" s="523"/>
      <c r="F2" s="523"/>
      <c r="G2" s="516" t="s">
        <v>1507</v>
      </c>
      <c r="H2" s="516"/>
      <c r="I2" s="516"/>
      <c r="J2" s="263"/>
      <c r="K2" s="263"/>
      <c r="L2" s="408" t="s">
        <v>1899</v>
      </c>
      <c r="M2" s="263"/>
      <c r="N2" s="263"/>
      <c r="O2" s="263"/>
      <c r="P2" s="263"/>
      <c r="Q2" s="263"/>
      <c r="R2" s="263"/>
      <c r="S2" s="263"/>
      <c r="T2" s="263"/>
      <c r="U2" s="264" t="s">
        <v>1544</v>
      </c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1"/>
      <c r="AV2" s="261"/>
      <c r="AW2" s="261"/>
      <c r="AX2" s="261"/>
      <c r="AY2" s="261"/>
      <c r="AZ2" s="261"/>
      <c r="BA2" s="261"/>
      <c r="BB2" s="261"/>
      <c r="BC2" s="261"/>
      <c r="BD2" s="261"/>
      <c r="BE2" s="261"/>
      <c r="BF2" s="261"/>
      <c r="BG2" s="261"/>
      <c r="BH2" s="261"/>
      <c r="BI2" s="261"/>
      <c r="BJ2" s="261"/>
      <c r="BK2" s="261"/>
      <c r="BL2" s="261"/>
      <c r="BM2" s="261"/>
      <c r="BN2" s="261"/>
      <c r="BO2" s="261"/>
      <c r="BP2" s="261"/>
      <c r="BQ2" s="261"/>
      <c r="BR2" s="261"/>
      <c r="BS2" s="261"/>
      <c r="BT2" s="261"/>
      <c r="BU2" s="261"/>
      <c r="BV2" s="261"/>
      <c r="BW2" s="261"/>
      <c r="BX2" s="261"/>
      <c r="BY2" s="261"/>
      <c r="BZ2" s="261"/>
      <c r="CA2" s="261"/>
      <c r="CB2" s="261"/>
      <c r="CC2" s="261"/>
      <c r="CD2" s="261"/>
      <c r="CE2" s="261"/>
      <c r="CF2" s="261"/>
      <c r="CG2" s="261"/>
      <c r="CH2" s="261"/>
      <c r="CI2" s="261"/>
      <c r="CJ2" s="261"/>
      <c r="CK2" s="261"/>
      <c r="CL2" s="261"/>
      <c r="CM2" s="261"/>
      <c r="CN2" s="261"/>
      <c r="CO2" s="261"/>
      <c r="CP2" s="261"/>
      <c r="CQ2" s="261"/>
      <c r="CR2" s="261"/>
      <c r="CS2" s="261"/>
      <c r="CT2" s="261"/>
      <c r="CU2" s="261"/>
      <c r="CV2" s="261"/>
      <c r="CW2" s="261"/>
      <c r="CX2" s="261"/>
      <c r="CY2" s="261"/>
      <c r="CZ2" s="261"/>
      <c r="DA2" s="261"/>
      <c r="DB2" s="261"/>
      <c r="DC2" s="261"/>
      <c r="DD2" s="261"/>
      <c r="DE2" s="261"/>
      <c r="DF2" s="261"/>
      <c r="DG2" s="261"/>
      <c r="DH2" s="261"/>
      <c r="DI2" s="261"/>
      <c r="DJ2" s="261"/>
      <c r="DK2" s="261"/>
      <c r="DL2" s="261"/>
      <c r="DM2" s="261"/>
      <c r="DN2" s="261"/>
      <c r="DO2" s="261"/>
      <c r="DP2" s="261"/>
      <c r="DQ2" s="261"/>
      <c r="DR2" s="261"/>
      <c r="DS2" s="261"/>
      <c r="DT2" s="261"/>
      <c r="DU2" s="261"/>
      <c r="DV2" s="261"/>
      <c r="DW2" s="261"/>
      <c r="DX2" s="261"/>
      <c r="DY2" s="261"/>
      <c r="DZ2" s="261"/>
      <c r="EA2" s="261"/>
      <c r="EB2" s="261"/>
      <c r="EC2" s="261"/>
      <c r="ED2" s="261"/>
      <c r="EE2" s="261"/>
      <c r="EF2" s="261"/>
      <c r="EG2" s="261"/>
      <c r="EH2" s="261"/>
      <c r="EI2" s="261"/>
      <c r="EJ2" s="261"/>
      <c r="EK2" s="261"/>
      <c r="EL2" s="261"/>
      <c r="EM2" s="261"/>
      <c r="EN2" s="261"/>
      <c r="EO2" s="261"/>
      <c r="EP2" s="261"/>
      <c r="EQ2" s="261"/>
      <c r="ER2" s="261"/>
      <c r="ES2" s="261"/>
      <c r="ET2" s="261"/>
      <c r="EU2" s="261"/>
      <c r="EV2" s="261"/>
      <c r="EW2" s="261"/>
      <c r="EX2" s="261"/>
      <c r="EY2" s="261"/>
      <c r="EZ2" s="261"/>
      <c r="FA2" s="261"/>
      <c r="FB2" s="261"/>
      <c r="FC2" s="261"/>
      <c r="FD2" s="261"/>
      <c r="FE2" s="261"/>
      <c r="FF2" s="261"/>
      <c r="FG2" s="261"/>
      <c r="FH2" s="261"/>
      <c r="FI2" s="261"/>
      <c r="FJ2" s="261"/>
      <c r="FK2" s="261"/>
      <c r="FL2" s="261"/>
      <c r="FM2" s="261"/>
      <c r="FN2" s="261"/>
      <c r="FO2" s="261"/>
      <c r="FP2" s="261"/>
      <c r="FQ2" s="261"/>
      <c r="FR2" s="261"/>
      <c r="FS2" s="261"/>
      <c r="FT2" s="261"/>
      <c r="FU2" s="261"/>
      <c r="FV2" s="261"/>
      <c r="FW2" s="261"/>
      <c r="FX2" s="261"/>
      <c r="FY2" s="261"/>
      <c r="FZ2" s="261"/>
      <c r="GA2" s="261"/>
      <c r="GB2" s="261"/>
      <c r="GC2" s="261"/>
      <c r="GD2" s="261"/>
      <c r="GE2" s="261"/>
      <c r="GF2" s="261"/>
      <c r="GG2" s="261"/>
      <c r="GH2" s="261"/>
      <c r="GI2" s="261"/>
      <c r="GJ2" s="261"/>
      <c r="GK2" s="261"/>
      <c r="GL2" s="261"/>
      <c r="GM2" s="261"/>
      <c r="GN2" s="261"/>
      <c r="GO2" s="261"/>
      <c r="GP2" s="261"/>
      <c r="GQ2" s="261"/>
      <c r="GR2" s="261"/>
      <c r="GS2" s="261"/>
      <c r="GT2" s="261"/>
      <c r="GU2" s="261"/>
      <c r="GV2" s="261"/>
      <c r="GW2" s="261"/>
    </row>
    <row r="3" spans="1:205" ht="20.100000000000001" customHeight="1" thickBot="1" x14ac:dyDescent="0.35">
      <c r="A3" s="524"/>
      <c r="B3" s="524"/>
      <c r="C3" s="524"/>
      <c r="D3" s="524"/>
      <c r="E3" s="524"/>
      <c r="F3" s="524"/>
      <c r="G3" s="517"/>
      <c r="H3" s="517"/>
      <c r="I3" s="517"/>
      <c r="J3" s="266"/>
      <c r="K3" s="266"/>
      <c r="L3" s="266"/>
      <c r="M3" s="266"/>
      <c r="N3" s="266"/>
      <c r="O3" s="266"/>
      <c r="P3" s="267"/>
      <c r="Q3" s="267"/>
      <c r="R3" s="267"/>
      <c r="S3" s="267"/>
      <c r="T3" s="267"/>
      <c r="U3" s="268"/>
      <c r="V3" s="262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J3" s="261"/>
    </row>
    <row r="4" spans="1:205" ht="20.100000000000001" customHeight="1" x14ac:dyDescent="0.3">
      <c r="A4" s="269"/>
      <c r="B4" s="270"/>
      <c r="C4" s="270"/>
      <c r="D4" s="270"/>
      <c r="E4" s="271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2"/>
      <c r="Q4" s="272"/>
      <c r="R4" s="272"/>
      <c r="S4" s="272"/>
      <c r="T4" s="272"/>
      <c r="U4" s="272"/>
      <c r="V4" s="335"/>
      <c r="W4" s="274"/>
      <c r="X4" s="272"/>
      <c r="Y4" s="272"/>
      <c r="Z4" s="272"/>
      <c r="AA4" s="272"/>
      <c r="AB4" s="272"/>
      <c r="AC4" s="272"/>
      <c r="AD4" s="272"/>
      <c r="AE4" s="272"/>
      <c r="AF4" s="440"/>
      <c r="AJ4" s="261"/>
    </row>
    <row r="5" spans="1:205" ht="20.100000000000001" customHeight="1" thickBot="1" x14ac:dyDescent="0.35">
      <c r="A5" s="275"/>
      <c r="B5" s="258"/>
      <c r="C5" s="258"/>
      <c r="D5" s="276"/>
      <c r="E5" s="276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73"/>
      <c r="Q5" s="273"/>
      <c r="R5" s="273"/>
      <c r="S5" s="273"/>
      <c r="T5" s="273"/>
      <c r="U5" s="273"/>
      <c r="V5" s="327"/>
      <c r="W5" s="259"/>
      <c r="X5" s="277"/>
      <c r="Y5" s="277"/>
      <c r="Z5" s="277"/>
      <c r="AA5" s="277"/>
      <c r="AB5" s="277"/>
      <c r="AC5" s="277"/>
      <c r="AD5" s="277"/>
      <c r="AE5" s="277"/>
      <c r="AF5" s="297"/>
      <c r="AJ5" s="261"/>
    </row>
    <row r="6" spans="1:205" ht="19.5" customHeight="1" x14ac:dyDescent="0.3">
      <c r="A6" s="278" t="s">
        <v>1453</v>
      </c>
      <c r="B6" s="278" t="s">
        <v>1454</v>
      </c>
      <c r="C6" s="278" t="s">
        <v>1455</v>
      </c>
      <c r="D6" s="347"/>
      <c r="E6" s="278" t="s">
        <v>1456</v>
      </c>
      <c r="F6" s="278" t="s">
        <v>1457</v>
      </c>
      <c r="G6" s="419"/>
      <c r="H6" s="258"/>
      <c r="I6" s="278" t="s">
        <v>1458</v>
      </c>
      <c r="J6" s="278" t="s">
        <v>1459</v>
      </c>
      <c r="K6" s="278" t="s">
        <v>1460</v>
      </c>
      <c r="L6" s="278" t="s">
        <v>1461</v>
      </c>
      <c r="M6" s="278" t="s">
        <v>1462</v>
      </c>
      <c r="N6" s="329"/>
      <c r="O6" s="278" t="s">
        <v>1463</v>
      </c>
      <c r="P6" s="278" t="s">
        <v>362</v>
      </c>
      <c r="Q6" s="278" t="s">
        <v>1464</v>
      </c>
      <c r="R6" s="278" t="s">
        <v>361</v>
      </c>
      <c r="S6" s="278" t="s">
        <v>1465</v>
      </c>
      <c r="T6" s="278" t="s">
        <v>360</v>
      </c>
      <c r="U6" s="278" t="s">
        <v>1466</v>
      </c>
      <c r="V6" s="327"/>
      <c r="W6" s="259"/>
      <c r="X6" s="279" t="s">
        <v>1499</v>
      </c>
      <c r="Y6" s="279" t="s">
        <v>461</v>
      </c>
      <c r="Z6" s="280" t="s">
        <v>463</v>
      </c>
      <c r="AA6" s="329"/>
      <c r="AB6" s="280" t="s">
        <v>464</v>
      </c>
      <c r="AC6" s="280" t="s">
        <v>470</v>
      </c>
      <c r="AD6" s="280" t="s">
        <v>471</v>
      </c>
      <c r="AE6" s="280" t="s">
        <v>473</v>
      </c>
      <c r="AF6" s="280" t="s">
        <v>474</v>
      </c>
      <c r="AJ6" s="261"/>
      <c r="AN6" s="261"/>
      <c r="AS6" s="261"/>
      <c r="AW6" s="261"/>
      <c r="BB6" s="261"/>
      <c r="BF6" s="261"/>
      <c r="BK6" s="261"/>
      <c r="BO6" s="261"/>
      <c r="BT6" s="261"/>
      <c r="BX6" s="261"/>
      <c r="CC6" s="261"/>
      <c r="CG6" s="261"/>
      <c r="CL6" s="261"/>
      <c r="CP6" s="261"/>
      <c r="CU6" s="261"/>
      <c r="CY6" s="261"/>
      <c r="DD6" s="261"/>
      <c r="DH6" s="261"/>
      <c r="DM6" s="261"/>
      <c r="DQ6" s="261"/>
      <c r="DV6" s="261"/>
      <c r="DZ6" s="261"/>
      <c r="EE6" s="261"/>
      <c r="EI6" s="261"/>
    </row>
    <row r="7" spans="1:205" s="247" customFormat="1" ht="19.5" customHeight="1" x14ac:dyDescent="0.3">
      <c r="A7" s="245" t="str">
        <f>IFERROR(VLOOKUP(A6,'자율관 배정 R1'!$B:$F,3,FALSE)&amp;"("&amp;VLOOKUP(A6,'자율관 배정 R1'!$B:$E,2,FALSE)&amp;")","")</f>
        <v>이유림(1)</v>
      </c>
      <c r="B7" s="245" t="str">
        <f>IFERROR(VLOOKUP(B6,'자율관 배정 R1'!$B:$F,3,FALSE)&amp;"("&amp;VLOOKUP(B6,'자율관 배정 R1'!$B:$E,2,FALSE)&amp;")","")</f>
        <v>장현채(1)</v>
      </c>
      <c r="C7" s="245" t="str">
        <f>IFERROR(VLOOKUP(C6,'자율관 배정 R1'!$B:$F,3,FALSE)&amp;"("&amp;VLOOKUP(C6,'자율관 배정 R1'!$B:$E,2,FALSE)&amp;")","")</f>
        <v>이서현(1)</v>
      </c>
      <c r="D7" s="349"/>
      <c r="E7" s="245" t="str">
        <f>IFERROR(VLOOKUP(E6,'자율관 배정 R1'!$B:$F,3,FALSE)&amp;"("&amp;VLOOKUP(E6,'자율관 배정 R1'!$B:$E,2,FALSE)&amp;")","")</f>
        <v>이다은(1)</v>
      </c>
      <c r="F7" s="418" t="str">
        <f>IFERROR(VLOOKUP(F6,'자율관 배정 R1'!$B:$F,3,FALSE)&amp;"("&amp;VLOOKUP(F6,'자율관 배정 R1'!$B:$E,2,FALSE)&amp;")","")</f>
        <v>양예은(1)</v>
      </c>
      <c r="G7" s="422"/>
      <c r="H7" s="311"/>
      <c r="I7" s="245" t="str">
        <f>IFERROR(VLOOKUP(I6,'자율관 배정 R1'!$B:$F,3,FALSE)&amp;"("&amp;VLOOKUP(I6,'자율관 배정 R1'!$B:$E,2,FALSE)&amp;")","")</f>
        <v>윤서연(1)</v>
      </c>
      <c r="J7" s="245" t="str">
        <f>IFERROR(VLOOKUP(J6,'자율관 배정 R1'!$B:$F,3,FALSE)&amp;"("&amp;VLOOKUP(J6,'자율관 배정 R1'!$B:$E,2,FALSE)&amp;")","")</f>
        <v>신지수(1)</v>
      </c>
      <c r="K7" s="245" t="str">
        <f>IFERROR(VLOOKUP(K6,'자율관 배정 R1'!$B:$F,3,FALSE)&amp;"("&amp;VLOOKUP(K6,'자율관 배정 R1'!$B:$E,2,FALSE)&amp;")","")</f>
        <v>원소윤(1)</v>
      </c>
      <c r="L7" s="245" t="str">
        <f>IFERROR(VLOOKUP(L6,'자율관 배정 R1'!$B:$F,3,FALSE)&amp;"("&amp;VLOOKUP(L6,'자율관 배정 R1'!$B:$E,2,FALSE)&amp;")","")</f>
        <v>신유나(1)</v>
      </c>
      <c r="M7" s="245" t="str">
        <f>IFERROR(VLOOKUP(M6,'자율관 배정 R1'!$B:$F,3,FALSE)&amp;"("&amp;VLOOKUP(M6,'자율관 배정 R1'!$B:$E,2,FALSE)&amp;")","")</f>
        <v>서다나(1)</v>
      </c>
      <c r="N7" s="330"/>
      <c r="O7" s="245" t="str">
        <f>IFERROR(VLOOKUP(O6,'자율관 배정 R1'!$B:$F,3,FALSE)&amp;"("&amp;VLOOKUP(O6,'자율관 배정 R1'!$B:$E,2,FALSE)&amp;")","")</f>
        <v>박연우(1)</v>
      </c>
      <c r="P7" s="245" t="str">
        <f>IFERROR(VLOOKUP(P6,'자율관 배정 R1'!$B:$F,3,FALSE)&amp;"("&amp;VLOOKUP(P6,'자율관 배정 R1'!$B:$E,2,FALSE)&amp;")","")</f>
        <v>박소하(1)</v>
      </c>
      <c r="Q7" s="245" t="str">
        <f>IFERROR(VLOOKUP(Q6,'자율관 배정 R1'!$B:$F,3,FALSE)&amp;"("&amp;VLOOKUP(Q6,'자율관 배정 R1'!$B:$E,2,FALSE)&amp;")","")</f>
        <v>김효린(1)</v>
      </c>
      <c r="R7" s="245" t="str">
        <f>IFERROR(VLOOKUP(R6,'자율관 배정 R1'!$B:$F,3,FALSE)&amp;"("&amp;VLOOKUP(R6,'자율관 배정 R1'!$B:$E,2,FALSE)&amp;")","")</f>
        <v>김령연(1)</v>
      </c>
      <c r="S7" s="245" t="str">
        <f>IFERROR(VLOOKUP(S6,'자율관 배정 R1'!$B:$F,3,FALSE)&amp;"("&amp;VLOOKUP(S6,'자율관 배정 R1'!$B:$E,2,FALSE)&amp;")","")</f>
        <v>김솔(1)</v>
      </c>
      <c r="T7" s="245" t="str">
        <f>IFERROR(VLOOKUP(T6,'자율관 배정 R1'!$B:$F,3,FALSE)&amp;"("&amp;VLOOKUP(T6,'자율관 배정 R1'!$B:$E,2,FALSE)&amp;")","")</f>
        <v>전유담(11)</v>
      </c>
      <c r="U7" s="245" t="str">
        <f>IFERROR(VLOOKUP(U6,'자율관 배정 R1'!$B:$F,3,FALSE)&amp;"("&amp;VLOOKUP(U6,'자율관 배정 R1'!$B:$E,2,FALSE)&amp;")","")</f>
        <v>이하은(11)</v>
      </c>
      <c r="V7" s="331"/>
      <c r="W7" s="312"/>
      <c r="X7" s="245" t="str">
        <f>IFERROR(VLOOKUP(X6,'자율관 배정 R1'!$B:$F,3,FALSE)&amp;"("&amp;VLOOKUP(X6,'자율관 배정 R1'!$B:$E,2,FALSE)&amp;")","")</f>
        <v>조규민(11)</v>
      </c>
      <c r="Y7" s="245" t="str">
        <f>IFERROR(VLOOKUP(Y6,'자율관 배정 R1'!$B:$F,3,FALSE)&amp;"("&amp;VLOOKUP(Y6,'자율관 배정 R1'!$B:$E,2,FALSE)&amp;")","")</f>
        <v>홍석진(10)</v>
      </c>
      <c r="Z7" s="245" t="str">
        <f>IFERROR(VLOOKUP(Z6,'자율관 배정 R1'!$B:$F,3,FALSE)&amp;"("&amp;VLOOKUP(Z6,'자율관 배정 R1'!$B:$E,2,FALSE)&amp;")","")</f>
        <v>나정수(9)</v>
      </c>
      <c r="AA7" s="329"/>
      <c r="AB7" s="245" t="str">
        <f>IFERROR(VLOOKUP(AB6,'자율관 배정 R1'!$B:$F,3,FALSE)&amp;"("&amp;VLOOKUP(AB6,'자율관 배정 R1'!$B:$E,2,FALSE)&amp;")","")</f>
        <v>김승하(9)</v>
      </c>
      <c r="AC7" s="245" t="str">
        <f>IFERROR(VLOOKUP(AC6,'자율관 배정 R1'!$B:$F,3,FALSE)&amp;"("&amp;VLOOKUP(AC6,'자율관 배정 R1'!$B:$E,2,FALSE)&amp;")","")</f>
        <v>김승원(8)</v>
      </c>
      <c r="AD7" s="245" t="str">
        <f>IFERROR(VLOOKUP(AD6,'자율관 배정 R1'!$B:$F,3,FALSE)&amp;"("&amp;VLOOKUP(AD6,'자율관 배정 R1'!$B:$E,2,FALSE)&amp;")","")</f>
        <v>김지훈(6)</v>
      </c>
      <c r="AE7" s="245" t="str">
        <f>IFERROR(VLOOKUP(AE6,'자율관 배정 R1'!$B:$F,3,FALSE)&amp;"("&amp;VLOOKUP(AE6,'자율관 배정 R1'!$B:$E,2,FALSE)&amp;")","")</f>
        <v>김우엽(6)</v>
      </c>
      <c r="AF7" s="245" t="str">
        <f>IFERROR(VLOOKUP(AF6,'자율관 배정 R1'!$B:$F,3,FALSE)&amp;"("&amp;VLOOKUP(AF6,'자율관 배정 R1'!$B:$E,2,FALSE)&amp;")","")</f>
        <v>고승혁(6)</v>
      </c>
      <c r="AG7" s="204"/>
      <c r="AH7" s="204"/>
      <c r="AI7" s="204"/>
      <c r="AJ7" s="204"/>
      <c r="AK7" s="204"/>
      <c r="AL7" s="204"/>
      <c r="AM7" s="204"/>
      <c r="AN7" s="204"/>
      <c r="AO7" s="204"/>
      <c r="AP7" s="204"/>
      <c r="AQ7" s="204"/>
      <c r="AR7" s="204"/>
      <c r="AS7" s="204"/>
      <c r="AT7" s="204"/>
      <c r="AU7" s="204"/>
      <c r="AV7" s="204"/>
      <c r="AW7" s="204"/>
      <c r="AX7" s="204"/>
      <c r="AY7" s="204"/>
      <c r="AZ7" s="204"/>
      <c r="BA7" s="204"/>
      <c r="BB7" s="204"/>
      <c r="BC7" s="204"/>
      <c r="BD7" s="204"/>
      <c r="BE7" s="204"/>
      <c r="BF7" s="204"/>
      <c r="BG7" s="204"/>
      <c r="BH7" s="204"/>
      <c r="BI7" s="204"/>
      <c r="BJ7" s="204"/>
      <c r="BK7" s="204"/>
      <c r="BL7" s="204"/>
      <c r="BM7" s="204"/>
      <c r="BN7" s="204"/>
      <c r="BO7" s="204"/>
      <c r="BP7" s="204"/>
      <c r="BQ7" s="204"/>
      <c r="BR7" s="204"/>
      <c r="BS7" s="204"/>
      <c r="BT7" s="204"/>
      <c r="BU7" s="204"/>
      <c r="BV7" s="204"/>
      <c r="BW7" s="204"/>
      <c r="BX7" s="204"/>
      <c r="BY7" s="204"/>
      <c r="BZ7" s="204"/>
      <c r="CA7" s="204"/>
      <c r="CB7" s="204"/>
      <c r="CC7" s="204"/>
      <c r="CD7" s="204"/>
      <c r="CE7" s="204"/>
      <c r="CF7" s="204"/>
      <c r="CG7" s="204"/>
      <c r="CH7" s="204"/>
      <c r="CI7" s="204"/>
      <c r="CJ7" s="204"/>
      <c r="CK7" s="204"/>
      <c r="CL7" s="204"/>
      <c r="CM7" s="204"/>
      <c r="CN7" s="204"/>
      <c r="CO7" s="204"/>
      <c r="CP7" s="204"/>
      <c r="CQ7" s="204"/>
      <c r="CR7" s="204"/>
      <c r="CS7" s="204"/>
      <c r="CT7" s="204"/>
      <c r="CU7" s="204"/>
      <c r="CV7" s="204"/>
      <c r="CW7" s="204"/>
      <c r="CX7" s="204"/>
      <c r="CY7" s="204"/>
      <c r="CZ7" s="204"/>
      <c r="DA7" s="204"/>
      <c r="DB7" s="204"/>
      <c r="DC7" s="204"/>
      <c r="DD7" s="204"/>
      <c r="DE7" s="204"/>
      <c r="DF7" s="204"/>
      <c r="DG7" s="204"/>
      <c r="DH7" s="204"/>
      <c r="DI7" s="204"/>
      <c r="DJ7" s="204"/>
      <c r="DK7" s="204"/>
      <c r="DL7" s="204"/>
      <c r="DM7" s="204"/>
      <c r="DN7" s="204"/>
      <c r="DO7" s="204"/>
      <c r="DP7" s="204"/>
      <c r="DQ7" s="204"/>
      <c r="DR7" s="204"/>
      <c r="DS7" s="204"/>
      <c r="DT7" s="204"/>
      <c r="DU7" s="204"/>
      <c r="DV7" s="204"/>
      <c r="DW7" s="204"/>
      <c r="DX7" s="204"/>
      <c r="DY7" s="204"/>
      <c r="DZ7" s="204"/>
      <c r="EA7" s="204"/>
      <c r="EB7" s="204"/>
      <c r="EC7" s="204"/>
      <c r="ED7" s="204"/>
      <c r="EE7" s="204"/>
      <c r="EF7" s="204"/>
      <c r="EG7" s="204"/>
      <c r="EH7" s="204"/>
      <c r="EI7" s="204"/>
      <c r="EJ7" s="204"/>
      <c r="EK7" s="204"/>
      <c r="EL7" s="204"/>
      <c r="EM7" s="204"/>
      <c r="EN7" s="204"/>
      <c r="EO7" s="204"/>
      <c r="EP7" s="204"/>
      <c r="EQ7" s="204"/>
      <c r="ER7" s="204"/>
      <c r="ES7" s="204"/>
      <c r="ET7" s="204"/>
      <c r="EU7" s="204"/>
      <c r="EV7" s="204"/>
      <c r="EW7" s="204"/>
      <c r="EX7" s="204"/>
      <c r="EY7" s="204"/>
      <c r="EZ7" s="204"/>
      <c r="FA7" s="204"/>
      <c r="FB7" s="204"/>
      <c r="FC7" s="204"/>
      <c r="FD7" s="204"/>
      <c r="FE7" s="204"/>
      <c r="FF7" s="204"/>
      <c r="FG7" s="204"/>
      <c r="FH7" s="204"/>
      <c r="FI7" s="204"/>
      <c r="FJ7" s="204"/>
      <c r="FK7" s="204"/>
      <c r="FL7" s="204"/>
      <c r="FM7" s="204"/>
      <c r="FN7" s="204"/>
      <c r="FO7" s="204"/>
      <c r="FP7" s="204"/>
      <c r="FQ7" s="204"/>
      <c r="FR7" s="204"/>
      <c r="FS7" s="204"/>
      <c r="FT7" s="204"/>
      <c r="FU7" s="204"/>
      <c r="FV7" s="204"/>
      <c r="FW7" s="204"/>
      <c r="FX7" s="204"/>
      <c r="FY7" s="204"/>
      <c r="FZ7" s="204"/>
      <c r="GA7" s="204"/>
      <c r="GB7" s="204"/>
      <c r="GC7" s="204"/>
      <c r="GD7" s="204"/>
      <c r="GE7" s="204"/>
      <c r="GF7" s="204"/>
      <c r="GG7" s="204"/>
      <c r="GH7" s="204"/>
      <c r="GI7" s="204"/>
      <c r="GJ7" s="204"/>
      <c r="GK7" s="204"/>
      <c r="GL7" s="204"/>
      <c r="GM7" s="204"/>
      <c r="GN7" s="204"/>
      <c r="GO7" s="204"/>
      <c r="GP7" s="204"/>
      <c r="GQ7" s="204"/>
      <c r="GR7" s="204"/>
      <c r="GS7" s="204"/>
      <c r="GT7" s="204"/>
      <c r="GU7" s="204"/>
      <c r="GV7" s="204"/>
      <c r="GW7" s="204"/>
    </row>
    <row r="8" spans="1:205" s="316" customFormat="1" ht="17.25" thickBot="1" x14ac:dyDescent="0.35">
      <c r="A8" s="313" t="str">
        <f>IFERROR(VLOOKUP(A6,'자율관 배정 R1'!$B:$F,5,FALSE)&amp;"","")</f>
        <v>EP면학X</v>
      </c>
      <c r="B8" s="313" t="str">
        <f>IFERROR(VLOOKUP(B6,'자율관 배정 R1'!$B:$F,5,FALSE)&amp;"","")</f>
        <v>월화수목</v>
      </c>
      <c r="C8" s="313" t="str">
        <f>IFERROR(VLOOKUP(C6,'자율관 배정 R1'!$B:$F,5,FALSE)&amp;"","")</f>
        <v>EP면학X</v>
      </c>
      <c r="D8" s="313" t="str">
        <f>IFERROR(VLOOKUP(D6,'자율관 배정 R1'!$B:$F,5,FALSE)&amp;"","")</f>
        <v/>
      </c>
      <c r="E8" s="313" t="str">
        <f>IFERROR(VLOOKUP(E6,'자율관 배정 R1'!$B:$F,5,FALSE)&amp;"","")</f>
        <v>EP면학X</v>
      </c>
      <c r="F8" s="313" t="str">
        <f>IFERROR(VLOOKUP(F6,'자율관 배정 R1'!$B:$F,5,FALSE)&amp;"","")</f>
        <v>EP면학X</v>
      </c>
      <c r="G8" s="420"/>
      <c r="H8" s="311"/>
      <c r="I8" s="313" t="str">
        <f>IFERROR(VLOOKUP(I6,'자율관 배정 R1'!$B:$F,5,FALSE)&amp;"","")</f>
        <v>기숙사</v>
      </c>
      <c r="J8" s="313" t="str">
        <f>IFERROR(VLOOKUP(J6,'자율관 배정 R1'!$B:$F,5,FALSE)&amp;"","")</f>
        <v>EP면학X</v>
      </c>
      <c r="K8" s="313" t="str">
        <f>IFERROR(VLOOKUP(K6,'자율관 배정 R1'!$B:$F,5,FALSE)&amp;"","")</f>
        <v>EP면학X</v>
      </c>
      <c r="L8" s="313" t="str">
        <f>IFERROR(VLOOKUP(L6,'자율관 배정 R1'!$B:$F,5,FALSE)&amp;"","")</f>
        <v>EP면학X</v>
      </c>
      <c r="M8" s="313" t="str">
        <f>IFERROR(VLOOKUP(M6,'자율관 배정 R1'!$B:$F,5,FALSE)&amp;"","")</f>
        <v>월화수목금</v>
      </c>
      <c r="N8" s="330"/>
      <c r="O8" s="313" t="str">
        <f>IFERROR(VLOOKUP(O6,'자율관 배정 R1'!$B:$F,5,FALSE)&amp;"","")</f>
        <v>월화수목</v>
      </c>
      <c r="P8" s="313" t="str">
        <f>IFERROR(VLOOKUP(P6,'자율관 배정 R1'!$B:$F,5,FALSE)&amp;"","")</f>
        <v>EP면학X</v>
      </c>
      <c r="Q8" s="313" t="str">
        <f>IFERROR(VLOOKUP(Q6,'자율관 배정 R1'!$B:$F,5,FALSE)&amp;"","")</f>
        <v>EP면학X</v>
      </c>
      <c r="R8" s="313" t="str">
        <f>IFERROR(VLOOKUP(R6,'자율관 배정 R1'!$B:$F,5,FALSE)&amp;"","")</f>
        <v>기숙사</v>
      </c>
      <c r="S8" s="313" t="str">
        <f>IFERROR(VLOOKUP(S6,'자율관 배정 R1'!$B:$F,5,FALSE)&amp;"","")</f>
        <v>EP면학X</v>
      </c>
      <c r="T8" s="313" t="str">
        <f>IFERROR(VLOOKUP(T6,'자율관 배정 R1'!$B:$F,5,FALSE)&amp;"","")</f>
        <v>EP면학X</v>
      </c>
      <c r="U8" s="313" t="str">
        <f>IFERROR(VLOOKUP(U6,'자율관 배정 R1'!$B:$F,5,FALSE)&amp;"","")</f>
        <v>기숙사</v>
      </c>
      <c r="V8" s="331"/>
      <c r="W8" s="312"/>
      <c r="X8" s="313" t="str">
        <f>IFERROR(VLOOKUP(X6,'자율관 배정 R1'!$B:$F,5,FALSE)&amp;"","")</f>
        <v>월화수목</v>
      </c>
      <c r="Y8" s="313" t="str">
        <f>IFERROR(VLOOKUP(Y6,'자율관 배정 R1'!$B:$F,5,FALSE)&amp;"","")</f>
        <v>기숙사</v>
      </c>
      <c r="Z8" s="313" t="str">
        <f>IFERROR(VLOOKUP(Z6,'자율관 배정 R1'!$B:$F,5,FALSE)&amp;"","")</f>
        <v>기숙사</v>
      </c>
      <c r="AA8" s="329"/>
      <c r="AB8" s="313" t="str">
        <f>IFERROR(VLOOKUP(AB6,'자율관 배정 R1'!$B:$F,5,FALSE)&amp;"","")</f>
        <v>기숙사</v>
      </c>
      <c r="AC8" s="313" t="str">
        <f>IFERROR(VLOOKUP(AC6,'자율관 배정 R1'!$B:$F,5,FALSE)&amp;"","")</f>
        <v>기숙사</v>
      </c>
      <c r="AD8" s="313" t="str">
        <f>IFERROR(VLOOKUP(AD6,'자율관 배정 R1'!$B:$F,5,FALSE)&amp;"","")</f>
        <v>기숙사</v>
      </c>
      <c r="AE8" s="313" t="str">
        <f>IFERROR(VLOOKUP(AE6,'자율관 배정 R1'!$B:$F,5,FALSE)&amp;"","")</f>
        <v>기숙사</v>
      </c>
      <c r="AF8" s="313" t="str">
        <f>IFERROR(VLOOKUP(AF6,'자율관 배정 R1'!$B:$F,5,FALSE)&amp;"","")</f>
        <v>월화수목</v>
      </c>
      <c r="AG8" s="315"/>
      <c r="AH8" s="315"/>
      <c r="AI8" s="315"/>
      <c r="AJ8" s="315"/>
      <c r="AK8" s="315"/>
      <c r="AL8" s="315"/>
      <c r="AM8" s="315"/>
      <c r="AN8" s="315"/>
      <c r="AO8" s="315"/>
      <c r="AP8" s="315"/>
      <c r="AQ8" s="315"/>
      <c r="AR8" s="315"/>
      <c r="AS8" s="315"/>
      <c r="AT8" s="315"/>
      <c r="AU8" s="315"/>
      <c r="AV8" s="315"/>
      <c r="AW8" s="315"/>
      <c r="AX8" s="315"/>
      <c r="AY8" s="315"/>
      <c r="AZ8" s="315"/>
      <c r="BA8" s="315"/>
      <c r="BB8" s="315"/>
      <c r="BC8" s="315"/>
      <c r="BD8" s="315"/>
      <c r="BE8" s="315"/>
      <c r="BF8" s="315"/>
      <c r="BG8" s="315"/>
      <c r="BH8" s="315"/>
      <c r="BI8" s="315"/>
      <c r="BJ8" s="315"/>
      <c r="BK8" s="315"/>
      <c r="BL8" s="315"/>
      <c r="BM8" s="315"/>
      <c r="BN8" s="315"/>
      <c r="BO8" s="315"/>
      <c r="BP8" s="315"/>
      <c r="BQ8" s="315"/>
      <c r="BR8" s="315"/>
      <c r="BS8" s="315"/>
      <c r="BT8" s="315"/>
      <c r="BU8" s="315"/>
      <c r="BV8" s="315"/>
      <c r="BW8" s="315"/>
      <c r="BX8" s="315"/>
      <c r="BY8" s="315"/>
      <c r="BZ8" s="315"/>
      <c r="CA8" s="315"/>
      <c r="CB8" s="315"/>
      <c r="CC8" s="315"/>
      <c r="CD8" s="315"/>
      <c r="CE8" s="315"/>
      <c r="CF8" s="315"/>
      <c r="CG8" s="315"/>
      <c r="CH8" s="315"/>
      <c r="CI8" s="315"/>
      <c r="CJ8" s="315"/>
      <c r="CK8" s="315"/>
      <c r="CL8" s="315"/>
      <c r="CM8" s="315"/>
      <c r="CN8" s="315"/>
      <c r="CO8" s="315"/>
      <c r="CP8" s="315"/>
      <c r="CQ8" s="315"/>
      <c r="CR8" s="315"/>
      <c r="CS8" s="315"/>
      <c r="CT8" s="315"/>
      <c r="CU8" s="315"/>
      <c r="CV8" s="315"/>
      <c r="CW8" s="315"/>
      <c r="CX8" s="315"/>
      <c r="CY8" s="315"/>
      <c r="CZ8" s="315"/>
      <c r="DA8" s="315"/>
      <c r="DB8" s="315"/>
      <c r="DC8" s="315"/>
      <c r="DD8" s="315"/>
      <c r="DE8" s="315"/>
      <c r="DF8" s="315"/>
      <c r="DG8" s="315"/>
      <c r="DH8" s="315"/>
      <c r="DI8" s="315"/>
      <c r="DJ8" s="315"/>
      <c r="DK8" s="315"/>
      <c r="DL8" s="315"/>
      <c r="DM8" s="315"/>
      <c r="DN8" s="315"/>
      <c r="DO8" s="315"/>
      <c r="DP8" s="315"/>
      <c r="DQ8" s="315"/>
      <c r="DR8" s="315"/>
      <c r="DS8" s="315"/>
      <c r="DT8" s="315"/>
      <c r="DU8" s="315"/>
      <c r="DV8" s="315"/>
      <c r="DW8" s="315"/>
      <c r="DX8" s="315"/>
      <c r="DY8" s="315"/>
      <c r="DZ8" s="315"/>
      <c r="EA8" s="315"/>
      <c r="EB8" s="315"/>
      <c r="EC8" s="315"/>
      <c r="ED8" s="315"/>
      <c r="EE8" s="315"/>
      <c r="EF8" s="315"/>
      <c r="EG8" s="315"/>
      <c r="EH8" s="315"/>
      <c r="EI8" s="315"/>
      <c r="EJ8" s="315"/>
      <c r="EK8" s="315"/>
      <c r="EL8" s="315"/>
      <c r="EM8" s="315"/>
      <c r="EN8" s="315"/>
      <c r="EO8" s="315"/>
      <c r="EP8" s="315"/>
      <c r="EQ8" s="315"/>
      <c r="ER8" s="315"/>
      <c r="ES8" s="315"/>
      <c r="ET8" s="315"/>
      <c r="EU8" s="315"/>
      <c r="EV8" s="315"/>
      <c r="EW8" s="315"/>
      <c r="EX8" s="315"/>
      <c r="EY8" s="315"/>
      <c r="EZ8" s="315"/>
      <c r="FA8" s="315"/>
      <c r="FB8" s="315"/>
      <c r="FC8" s="315"/>
      <c r="FD8" s="315"/>
      <c r="FE8" s="315"/>
      <c r="FF8" s="315"/>
      <c r="FG8" s="315"/>
      <c r="FH8" s="315"/>
      <c r="FI8" s="315"/>
      <c r="FJ8" s="315"/>
      <c r="FK8" s="315"/>
      <c r="FL8" s="315"/>
      <c r="FM8" s="315"/>
      <c r="FN8" s="315"/>
      <c r="FO8" s="315"/>
      <c r="FP8" s="315"/>
      <c r="FQ8" s="315"/>
      <c r="FR8" s="315"/>
      <c r="FS8" s="315"/>
      <c r="FT8" s="315"/>
      <c r="FU8" s="315"/>
      <c r="FV8" s="315"/>
      <c r="FW8" s="315"/>
      <c r="FX8" s="315"/>
      <c r="FY8" s="315"/>
      <c r="FZ8" s="315"/>
      <c r="GA8" s="315"/>
      <c r="GB8" s="315"/>
      <c r="GC8" s="315"/>
      <c r="GD8" s="315"/>
      <c r="GE8" s="315"/>
      <c r="GF8" s="315"/>
      <c r="GG8" s="315"/>
      <c r="GH8" s="315"/>
      <c r="GI8" s="315"/>
      <c r="GJ8" s="315"/>
      <c r="GK8" s="315"/>
      <c r="GL8" s="315"/>
      <c r="GM8" s="315"/>
      <c r="GN8" s="315"/>
      <c r="GO8" s="315"/>
      <c r="GP8" s="315"/>
      <c r="GQ8" s="315"/>
      <c r="GR8" s="315"/>
      <c r="GS8" s="315"/>
      <c r="GT8" s="315"/>
      <c r="GU8" s="315"/>
      <c r="GV8" s="315"/>
      <c r="GW8" s="315"/>
    </row>
    <row r="9" spans="1:205" ht="20.100000000000001" customHeight="1" x14ac:dyDescent="0.3">
      <c r="A9" s="278" t="s">
        <v>359</v>
      </c>
      <c r="B9" s="278" t="s">
        <v>1467</v>
      </c>
      <c r="C9" s="278" t="s">
        <v>358</v>
      </c>
      <c r="D9" s="347"/>
      <c r="E9" s="278" t="s">
        <v>1468</v>
      </c>
      <c r="F9" s="282" t="s">
        <v>357</v>
      </c>
      <c r="G9" s="423"/>
      <c r="H9" s="311"/>
      <c r="I9" s="278" t="s">
        <v>1469</v>
      </c>
      <c r="J9" s="278" t="s">
        <v>356</v>
      </c>
      <c r="K9" s="278" t="s">
        <v>1470</v>
      </c>
      <c r="L9" s="282" t="s">
        <v>355</v>
      </c>
      <c r="M9" s="278" t="s">
        <v>1471</v>
      </c>
      <c r="N9" s="330"/>
      <c r="O9" s="278" t="s">
        <v>354</v>
      </c>
      <c r="P9" s="278" t="s">
        <v>1472</v>
      </c>
      <c r="Q9" s="278" t="s">
        <v>353</v>
      </c>
      <c r="R9" s="278" t="s">
        <v>1473</v>
      </c>
      <c r="S9" s="278" t="s">
        <v>352</v>
      </c>
      <c r="T9" s="278" t="s">
        <v>1474</v>
      </c>
      <c r="U9" s="278" t="s">
        <v>351</v>
      </c>
      <c r="V9" s="331"/>
      <c r="W9" s="312"/>
      <c r="X9" s="279" t="s">
        <v>476</v>
      </c>
      <c r="Y9" s="280" t="s">
        <v>437</v>
      </c>
      <c r="Z9" s="280" t="s">
        <v>438</v>
      </c>
      <c r="AA9" s="329"/>
      <c r="AB9" s="280" t="s">
        <v>449</v>
      </c>
      <c r="AC9" s="280" t="s">
        <v>447</v>
      </c>
      <c r="AD9" s="280" t="s">
        <v>446</v>
      </c>
      <c r="AE9" s="280" t="s">
        <v>486</v>
      </c>
      <c r="AF9" s="280" t="s">
        <v>485</v>
      </c>
      <c r="AJ9" s="261"/>
      <c r="AN9" s="261"/>
      <c r="AS9" s="261"/>
      <c r="AW9" s="261"/>
      <c r="BB9" s="261"/>
      <c r="BF9" s="261"/>
      <c r="BK9" s="261"/>
      <c r="BO9" s="261"/>
      <c r="BT9" s="261"/>
      <c r="BX9" s="261"/>
      <c r="CC9" s="261"/>
      <c r="CG9" s="261"/>
      <c r="CL9" s="261"/>
      <c r="CP9" s="261"/>
      <c r="CU9" s="261"/>
      <c r="CY9" s="261"/>
      <c r="DD9" s="261"/>
      <c r="DH9" s="261"/>
      <c r="DM9" s="261"/>
      <c r="DQ9" s="261"/>
      <c r="DV9" s="261"/>
      <c r="DZ9" s="261"/>
      <c r="EE9" s="261"/>
      <c r="EI9" s="261"/>
    </row>
    <row r="10" spans="1:205" s="204" customFormat="1" ht="19.5" customHeight="1" thickBot="1" x14ac:dyDescent="0.35">
      <c r="A10" s="246" t="str">
        <f>IFERROR(VLOOKUP(A9,'자율관 배정 R1'!$B:$F,3,FALSE)&amp;"("&amp;VLOOKUP(A9,'자율관 배정 R1'!$B:$E,2,FALSE)&amp;")","")</f>
        <v>심비주(2)</v>
      </c>
      <c r="B10" s="246" t="str">
        <f>IFERROR(VLOOKUP(B9,'자율관 배정 R1'!$B:$F,3,FALSE)&amp;"("&amp;VLOOKUP(B9,'자율관 배정 R1'!$B:$E,2,FALSE)&amp;")","")</f>
        <v>박지우(2)</v>
      </c>
      <c r="C10" s="246" t="str">
        <f>IFERROR(VLOOKUP(C9,'자율관 배정 R1'!$B:$F,3,FALSE)&amp;"("&amp;VLOOKUP(C9,'자율관 배정 R1'!$B:$E,2,FALSE)&amp;")","")</f>
        <v>신윤서(2)</v>
      </c>
      <c r="D10" s="350"/>
      <c r="E10" s="246" t="str">
        <f>IFERROR(VLOOKUP(E9,'자율관 배정 R1'!$B:$F,3,FALSE)&amp;"("&amp;VLOOKUP(E9,'자율관 배정 R1'!$B:$E,2,FALSE)&amp;")","")</f>
        <v>남현지(2)</v>
      </c>
      <c r="F10" s="246" t="str">
        <f>IFERROR(VLOOKUP(F9,'자율관 배정 R1'!$B:$F,3,FALSE)&amp;"("&amp;VLOOKUP(F9,'자율관 배정 R1'!$B:$E,2,FALSE)&amp;")","")</f>
        <v>송효주(2)</v>
      </c>
      <c r="G10" s="322"/>
      <c r="H10" s="311"/>
      <c r="I10" s="246" t="str">
        <f>IFERROR(VLOOKUP(I9,'자율관 배정 R1'!$B:$F,3,FALSE)&amp;"("&amp;VLOOKUP(I9,'자율관 배정 R1'!$B:$E,2,FALSE)&amp;")","")</f>
        <v>나윤서(2)</v>
      </c>
      <c r="J10" s="246" t="str">
        <f>IFERROR(VLOOKUP(J9,'자율관 배정 R1'!$B:$F,3,FALSE)&amp;"("&amp;VLOOKUP(J9,'자율관 배정 R1'!$B:$E,2,FALSE)&amp;")","")</f>
        <v>김민선(2)</v>
      </c>
      <c r="K10" s="246" t="str">
        <f>IFERROR(VLOOKUP(K9,'자율관 배정 R1'!$B:$F,3,FALSE)&amp;"("&amp;VLOOKUP(K9,'자율관 배정 R1'!$B:$E,2,FALSE)&amp;")","")</f>
        <v>김수현(2)</v>
      </c>
      <c r="L10" s="246" t="str">
        <f>IFERROR(VLOOKUP(L9,'자율관 배정 R1'!$B:$F,3,FALSE)&amp;"("&amp;VLOOKUP(L9,'자율관 배정 R1'!$B:$E,2,FALSE)&amp;")","")</f>
        <v>최여정(1)</v>
      </c>
      <c r="M10" s="246" t="str">
        <f>IFERROR(VLOOKUP(M9,'자율관 배정 R1'!$B:$F,3,FALSE)&amp;"("&amp;VLOOKUP(M9,'자율관 배정 R1'!$B:$E,2,FALSE)&amp;")","")</f>
        <v>한지효(1)</v>
      </c>
      <c r="N10" s="330"/>
      <c r="O10" s="246" t="str">
        <f>IFERROR(VLOOKUP(O9,'자율관 배정 R1'!$B:$F,3,FALSE)&amp;"("&amp;VLOOKUP(O9,'자율관 배정 R1'!$B:$E,2,FALSE)&amp;")","")</f>
        <v>진나현(1)</v>
      </c>
      <c r="P10" s="246" t="str">
        <f>IFERROR(VLOOKUP(P9,'자율관 배정 R1'!$B:$F,3,FALSE)&amp;"("&amp;VLOOKUP(P9,'자율관 배정 R1'!$B:$E,2,FALSE)&amp;")","")</f>
        <v>정효주(1)</v>
      </c>
      <c r="Q10" s="246" t="str">
        <f>IFERROR(VLOOKUP(Q9,'자율관 배정 R1'!$B:$F,3,FALSE)&amp;"("&amp;VLOOKUP(Q9,'자율관 배정 R1'!$B:$E,2,FALSE)&amp;")","")</f>
        <v>전원희(1)</v>
      </c>
      <c r="R10" s="246" t="str">
        <f>IFERROR(VLOOKUP(R9,'자율관 배정 R1'!$B:$F,3,FALSE)&amp;"("&amp;VLOOKUP(R9,'자율관 배정 R1'!$B:$E,2,FALSE)&amp;")","")</f>
        <v>정유빈(1)</v>
      </c>
      <c r="S10" s="246" t="str">
        <f>IFERROR(VLOOKUP(S9,'자율관 배정 R1'!$B:$F,3,FALSE)&amp;"("&amp;VLOOKUP(S9,'자율관 배정 R1'!$B:$E,2,FALSE)&amp;")","")</f>
        <v>이지윤(1)</v>
      </c>
      <c r="T10" s="246" t="str">
        <f>IFERROR(VLOOKUP(T9,'자율관 배정 R1'!$B:$F,3,FALSE)&amp;"("&amp;VLOOKUP(T9,'자율관 배정 R1'!$B:$E,2,FALSE)&amp;")","")</f>
        <v>박해원(11)</v>
      </c>
      <c r="U10" s="410" t="str">
        <f>IFERROR(VLOOKUP(U9,'자율관 배정 R1'!$B:$F,3,FALSE)&amp;"("&amp;VLOOKUP(U9,'자율관 배정 R1'!$B:$E,2,FALSE)&amp;")","")</f>
        <v>이나엘라(3)</v>
      </c>
      <c r="V10" s="331"/>
      <c r="W10" s="312"/>
      <c r="X10" s="246" t="str">
        <f>IFERROR(VLOOKUP(X9,'자율관 배정 R1'!$B:$F,3,FALSE)&amp;"("&amp;VLOOKUP(X9,'자율관 배정 R1'!$B:$E,2,FALSE)&amp;")","")</f>
        <v>조아훈(5)</v>
      </c>
      <c r="Y10" s="246" t="str">
        <f>IFERROR(VLOOKUP(Y9,'자율관 배정 R1'!$B:$F,3,FALSE)&amp;"("&amp;VLOOKUP(Y9,'자율관 배정 R1'!$B:$E,2,FALSE)&amp;")","")</f>
        <v>김휘연(5)</v>
      </c>
      <c r="Z10" s="246" t="str">
        <f>IFERROR(VLOOKUP(Z9,'자율관 배정 R1'!$B:$F,3,FALSE)&amp;"("&amp;VLOOKUP(Z9,'자율관 배정 R1'!$B:$E,2,FALSE)&amp;")","")</f>
        <v>강병훈(5)</v>
      </c>
      <c r="AA10" s="329"/>
      <c r="AB10" s="251" t="str">
        <f>IFERROR(VLOOKUP(AB9,'자율관 배정 R1'!$B:$F,3,FALSE)&amp;"("&amp;VLOOKUP(AB9,'자율관 배정 R1'!$B:$E,2,FALSE)&amp;")","")</f>
        <v>변정빈(4)</v>
      </c>
      <c r="AC10" s="246" t="str">
        <f>IFERROR(VLOOKUP(AC9,'자율관 배정 R1'!$B:$F,3,FALSE)&amp;"("&amp;VLOOKUP(AC9,'자율관 배정 R1'!$B:$E,2,FALSE)&amp;")","")</f>
        <v>박종하(4)</v>
      </c>
      <c r="AD10" s="246" t="str">
        <f>IFERROR(VLOOKUP(AD9,'자율관 배정 R1'!$B:$F,3,FALSE)&amp;"("&amp;VLOOKUP(AD9,'자율관 배정 R1'!$B:$E,2,FALSE)&amp;")","")</f>
        <v>신연운(3)</v>
      </c>
      <c r="AE10" s="246" t="str">
        <f>IFERROR(VLOOKUP(AE9,'자율관 배정 R1'!$B:$F,3,FALSE)&amp;"("&amp;VLOOKUP(AE9,'자율관 배정 R1'!$B:$E,2,FALSE)&amp;")","")</f>
        <v>노현수(3)</v>
      </c>
      <c r="AF10" s="246" t="str">
        <f>IFERROR(VLOOKUP(AF9,'자율관 배정 R1'!$B:$F,3,FALSE)&amp;"("&amp;VLOOKUP(AF9,'자율관 배정 R1'!$B:$E,2,FALSE)&amp;")","")</f>
        <v>김선율(1)</v>
      </c>
      <c r="AG10" s="281"/>
      <c r="AH10" s="281"/>
      <c r="AI10" s="281"/>
      <c r="AJ10" s="261"/>
      <c r="AK10" s="281"/>
      <c r="AL10" s="281"/>
      <c r="AM10" s="281"/>
      <c r="AN10" s="261"/>
      <c r="AO10" s="281"/>
      <c r="AP10" s="281"/>
      <c r="AQ10" s="281"/>
      <c r="AR10" s="281"/>
      <c r="AS10" s="261"/>
      <c r="AT10" s="281"/>
      <c r="AU10" s="281"/>
      <c r="AV10" s="281"/>
      <c r="AW10" s="261"/>
      <c r="AX10" s="281"/>
      <c r="AY10" s="281"/>
      <c r="AZ10" s="281"/>
      <c r="BA10" s="281"/>
      <c r="BB10" s="261"/>
      <c r="BC10" s="281"/>
      <c r="BD10" s="281"/>
      <c r="BE10" s="281"/>
      <c r="BF10" s="261"/>
      <c r="BG10" s="281"/>
      <c r="BH10" s="281"/>
      <c r="BI10" s="281"/>
      <c r="BJ10" s="281"/>
      <c r="BK10" s="261"/>
      <c r="BL10" s="281"/>
      <c r="BM10" s="281"/>
      <c r="BN10" s="281"/>
      <c r="BO10" s="261"/>
      <c r="BP10" s="281"/>
      <c r="BQ10" s="281"/>
      <c r="BR10" s="281"/>
      <c r="BS10" s="281"/>
      <c r="BT10" s="261"/>
      <c r="BU10" s="281"/>
      <c r="BV10" s="281"/>
      <c r="BW10" s="281"/>
      <c r="BX10" s="261"/>
      <c r="BY10" s="281"/>
      <c r="BZ10" s="281"/>
      <c r="CA10" s="281"/>
      <c r="CB10" s="281"/>
      <c r="CC10" s="261"/>
      <c r="CD10" s="281"/>
      <c r="CE10" s="281"/>
      <c r="CF10" s="281"/>
      <c r="CG10" s="261"/>
      <c r="CH10" s="281"/>
      <c r="CI10" s="281"/>
      <c r="CJ10" s="281"/>
      <c r="CK10" s="281"/>
      <c r="CL10" s="261"/>
      <c r="CM10" s="281"/>
      <c r="CN10" s="281"/>
      <c r="CO10" s="281"/>
      <c r="CP10" s="261"/>
      <c r="CQ10" s="281"/>
      <c r="CR10" s="281"/>
      <c r="CS10" s="281"/>
      <c r="CT10" s="281"/>
      <c r="CU10" s="261"/>
      <c r="CV10" s="281"/>
      <c r="CW10" s="281"/>
      <c r="CX10" s="281"/>
      <c r="CY10" s="261"/>
      <c r="CZ10" s="281"/>
      <c r="DA10" s="281"/>
      <c r="DB10" s="281"/>
      <c r="DC10" s="281"/>
      <c r="DD10" s="261"/>
      <c r="DE10" s="281"/>
      <c r="DF10" s="281"/>
      <c r="DG10" s="281"/>
      <c r="DH10" s="261"/>
      <c r="DI10" s="281"/>
      <c r="DJ10" s="281"/>
      <c r="DK10" s="281"/>
      <c r="DL10" s="281"/>
      <c r="DM10" s="261"/>
      <c r="DN10" s="281"/>
      <c r="DO10" s="281"/>
      <c r="DP10" s="281"/>
      <c r="DQ10" s="261"/>
      <c r="DR10" s="281"/>
      <c r="DS10" s="281"/>
      <c r="DT10" s="281"/>
      <c r="DU10" s="281"/>
      <c r="DV10" s="261"/>
      <c r="DW10" s="281"/>
      <c r="DX10" s="281"/>
      <c r="DY10" s="281"/>
      <c r="DZ10" s="261"/>
      <c r="EA10" s="281"/>
      <c r="EB10" s="281"/>
      <c r="EC10" s="281"/>
      <c r="ED10" s="281"/>
      <c r="EE10" s="261"/>
      <c r="EF10" s="281"/>
      <c r="EG10" s="281"/>
      <c r="EH10" s="281"/>
      <c r="EI10" s="261"/>
      <c r="EJ10" s="281"/>
      <c r="EK10" s="281"/>
    </row>
    <row r="11" spans="1:205" s="321" customFormat="1" ht="19.5" customHeight="1" thickBot="1" x14ac:dyDescent="0.35">
      <c r="A11" s="317" t="str">
        <f>IFERROR(VLOOKUP(A9,'자율관 배정 R1'!$B:$F,5,FALSE)&amp;"","")</f>
        <v>EP면학X</v>
      </c>
      <c r="B11" s="317" t="str">
        <f>IFERROR(VLOOKUP(B9,'자율관 배정 R1'!$B:$F,5,FALSE)&amp;"","")</f>
        <v>기숙사</v>
      </c>
      <c r="C11" s="317" t="str">
        <f>IFERROR(VLOOKUP(C9,'자율관 배정 R1'!$B:$F,5,FALSE)&amp;"","")</f>
        <v>EP면학X</v>
      </c>
      <c r="D11" s="317" t="str">
        <f>IFERROR(VLOOKUP(D9,'자율관 배정 R1'!$B:$F,5,FALSE)&amp;"","")</f>
        <v/>
      </c>
      <c r="E11" s="317" t="str">
        <f>IFERROR(VLOOKUP(E9,'자율관 배정 R1'!$B:$F,5,FALSE)&amp;"","")</f>
        <v>기숙사</v>
      </c>
      <c r="F11" s="317" t="str">
        <f>IFERROR(VLOOKUP(F9,'자율관 배정 R1'!$B:$F,5,FALSE)&amp;"","")</f>
        <v>EP면학X</v>
      </c>
      <c r="G11" s="431"/>
      <c r="H11" s="311"/>
      <c r="I11" s="317" t="str">
        <f>IFERROR(VLOOKUP(I9,'자율관 배정 R1'!$B:$F,5,FALSE)&amp;"","")</f>
        <v>월화수목</v>
      </c>
      <c r="J11" s="317" t="str">
        <f>IFERROR(VLOOKUP(J9,'자율관 배정 R1'!$B:$F,5,FALSE)&amp;"","")</f>
        <v>월화수목</v>
      </c>
      <c r="K11" s="317" t="str">
        <f>IFERROR(VLOOKUP(K9,'자율관 배정 R1'!$B:$F,5,FALSE)&amp;"","")</f>
        <v>EP면학X</v>
      </c>
      <c r="L11" s="317" t="str">
        <f>IFERROR(VLOOKUP(L9,'자율관 배정 R1'!$B:$F,5,FALSE)&amp;"","")</f>
        <v>EP면학X</v>
      </c>
      <c r="M11" s="317" t="str">
        <f>IFERROR(VLOOKUP(M9,'자율관 배정 R1'!$B:$F,5,FALSE)&amp;"","")</f>
        <v>월화수목</v>
      </c>
      <c r="N11" s="330"/>
      <c r="O11" s="317" t="str">
        <f>IFERROR(VLOOKUP(O9,'자율관 배정 R1'!$B:$F,5,FALSE)&amp;"","")</f>
        <v>EP면학X</v>
      </c>
      <c r="P11" s="317" t="str">
        <f>IFERROR(VLOOKUP(P9,'자율관 배정 R1'!$B:$F,5,FALSE)&amp;"","")</f>
        <v>월화수목</v>
      </c>
      <c r="Q11" s="317" t="str">
        <f>IFERROR(VLOOKUP(Q9,'자율관 배정 R1'!$B:$F,5,FALSE)&amp;"","")</f>
        <v>EP면학X</v>
      </c>
      <c r="R11" s="317" t="str">
        <f>IFERROR(VLOOKUP(R9,'자율관 배정 R1'!$B:$F,5,FALSE)&amp;"","")</f>
        <v>EP면학X</v>
      </c>
      <c r="S11" s="317" t="str">
        <f>IFERROR(VLOOKUP(S9,'자율관 배정 R1'!$B:$F,5,FALSE)&amp;"","")</f>
        <v>EP면학X</v>
      </c>
      <c r="T11" s="317" t="str">
        <f>IFERROR(VLOOKUP(T9,'자율관 배정 R1'!$B:$F,5,FALSE)&amp;"","")</f>
        <v>기숙사</v>
      </c>
      <c r="U11" s="317" t="str">
        <f>IFERROR(VLOOKUP(U9,'자율관 배정 R1'!$B:$F,5,FALSE)&amp;"","")</f>
        <v>EP면학X</v>
      </c>
      <c r="V11" s="430"/>
      <c r="W11" s="312"/>
      <c r="X11" s="317" t="str">
        <f>IFERROR(VLOOKUP(X9,'자율관 배정 R1'!$B:$F,5,FALSE)&amp;"","")</f>
        <v>기숙사</v>
      </c>
      <c r="Y11" s="317" t="str">
        <f>IFERROR(VLOOKUP(Y9,'자율관 배정 R1'!$B:$F,5,FALSE)&amp;"","")</f>
        <v>기숙사</v>
      </c>
      <c r="Z11" s="317" t="str">
        <f>IFERROR(VLOOKUP(Z9,'자율관 배정 R1'!$B:$F,5,FALSE)&amp;"","")</f>
        <v>월화수목</v>
      </c>
      <c r="AA11" s="329"/>
      <c r="AB11" s="318" t="str">
        <f>IFERROR(VLOOKUP(AB9,'자율관 배정 R1'!$B:$F,5,FALSE)&amp;"","")</f>
        <v>기숙사</v>
      </c>
      <c r="AC11" s="318" t="str">
        <f>IFERROR(VLOOKUP(AC9,'자율관 배정 R1'!$B:$F,5,FALSE)&amp;"","")</f>
        <v>기숙사</v>
      </c>
      <c r="AD11" s="318" t="str">
        <f>IFERROR(VLOOKUP(AD9,'자율관 배정 R1'!$B:$F,5,FALSE)&amp;"","")</f>
        <v>기숙사</v>
      </c>
      <c r="AE11" s="318" t="str">
        <f>IFERROR(VLOOKUP(AE9,'자율관 배정 R1'!$B:$F,5,FALSE)&amp;"","")</f>
        <v>월화수목</v>
      </c>
      <c r="AF11" s="318" t="str">
        <f>IFERROR(VLOOKUP(AF9,'자율관 배정 R1'!$B:$F,5,FALSE)&amp;"","")</f>
        <v>기숙사</v>
      </c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315"/>
      <c r="AT11" s="315"/>
      <c r="AU11" s="315"/>
      <c r="AV11" s="315"/>
      <c r="AW11" s="315"/>
      <c r="AX11" s="315"/>
      <c r="AY11" s="315"/>
      <c r="AZ11" s="315"/>
      <c r="BA11" s="315"/>
      <c r="BB11" s="315"/>
      <c r="BC11" s="315"/>
      <c r="BD11" s="315"/>
      <c r="BE11" s="315"/>
      <c r="BF11" s="315"/>
      <c r="BG11" s="315"/>
      <c r="BH11" s="315"/>
      <c r="BI11" s="315"/>
      <c r="BJ11" s="315"/>
      <c r="BK11" s="315"/>
      <c r="BL11" s="315"/>
      <c r="BM11" s="315"/>
      <c r="BN11" s="315"/>
      <c r="BO11" s="315"/>
      <c r="BP11" s="315"/>
      <c r="BQ11" s="315"/>
      <c r="BR11" s="315"/>
      <c r="BS11" s="315"/>
      <c r="BT11" s="315"/>
      <c r="BU11" s="315"/>
      <c r="BV11" s="315"/>
      <c r="BW11" s="315"/>
      <c r="BX11" s="315"/>
      <c r="BY11" s="315"/>
      <c r="BZ11" s="315"/>
      <c r="CA11" s="315"/>
      <c r="CB11" s="315"/>
      <c r="CC11" s="315"/>
      <c r="CD11" s="315"/>
      <c r="CE11" s="315"/>
      <c r="CF11" s="315"/>
      <c r="CG11" s="315"/>
      <c r="CH11" s="315"/>
      <c r="CI11" s="315"/>
      <c r="CJ11" s="315"/>
      <c r="CK11" s="315"/>
      <c r="CL11" s="315"/>
      <c r="CM11" s="315"/>
      <c r="CN11" s="315"/>
      <c r="CO11" s="315"/>
      <c r="CP11" s="315"/>
      <c r="CQ11" s="315"/>
      <c r="CR11" s="315"/>
      <c r="CS11" s="315"/>
      <c r="CT11" s="315"/>
      <c r="CU11" s="315"/>
      <c r="CV11" s="315"/>
      <c r="CW11" s="315"/>
      <c r="CX11" s="315"/>
      <c r="CY11" s="315"/>
      <c r="CZ11" s="315"/>
      <c r="DA11" s="315"/>
      <c r="DB11" s="315"/>
      <c r="DC11" s="315"/>
      <c r="DD11" s="315"/>
      <c r="DE11" s="315"/>
      <c r="DF11" s="315"/>
      <c r="DG11" s="315"/>
      <c r="DH11" s="315"/>
      <c r="DI11" s="315"/>
      <c r="DJ11" s="315"/>
      <c r="DK11" s="315"/>
      <c r="DL11" s="315"/>
      <c r="DM11" s="315"/>
      <c r="DN11" s="315"/>
      <c r="DO11" s="315"/>
      <c r="DP11" s="315"/>
      <c r="DQ11" s="315"/>
      <c r="DR11" s="315"/>
      <c r="DS11" s="315"/>
      <c r="DT11" s="315"/>
      <c r="DU11" s="315"/>
      <c r="DV11" s="315"/>
      <c r="DW11" s="315"/>
      <c r="DX11" s="315"/>
      <c r="DY11" s="315"/>
      <c r="DZ11" s="315"/>
      <c r="EA11" s="315"/>
      <c r="EB11" s="315"/>
      <c r="EC11" s="315"/>
      <c r="ED11" s="315"/>
      <c r="EE11" s="315"/>
      <c r="EF11" s="315"/>
      <c r="EG11" s="315"/>
      <c r="EH11" s="315"/>
      <c r="EI11" s="315"/>
      <c r="EJ11" s="315"/>
      <c r="EK11" s="315"/>
      <c r="EL11" s="315"/>
      <c r="EM11" s="315"/>
      <c r="EN11" s="315"/>
      <c r="EO11" s="315"/>
      <c r="EP11" s="315"/>
      <c r="EQ11" s="315"/>
      <c r="ER11" s="315"/>
      <c r="ES11" s="315"/>
      <c r="ET11" s="315"/>
      <c r="EU11" s="315"/>
      <c r="EV11" s="315"/>
      <c r="EW11" s="315"/>
      <c r="EX11" s="315"/>
      <c r="EY11" s="315"/>
      <c r="EZ11" s="315"/>
      <c r="FA11" s="315"/>
      <c r="FB11" s="315"/>
      <c r="FC11" s="315"/>
      <c r="FD11" s="315"/>
      <c r="FE11" s="315"/>
      <c r="FF11" s="315"/>
      <c r="FG11" s="315"/>
      <c r="FH11" s="315"/>
      <c r="FI11" s="315"/>
      <c r="FJ11" s="315"/>
      <c r="FK11" s="315"/>
      <c r="FL11" s="315"/>
      <c r="FM11" s="315"/>
      <c r="FN11" s="315"/>
      <c r="FO11" s="315"/>
      <c r="FP11" s="315"/>
      <c r="FQ11" s="315"/>
      <c r="FR11" s="315"/>
      <c r="FS11" s="315"/>
      <c r="FT11" s="315"/>
      <c r="FU11" s="315"/>
      <c r="FV11" s="315"/>
      <c r="FW11" s="315"/>
      <c r="FX11" s="315"/>
      <c r="FY11" s="315"/>
      <c r="FZ11" s="315"/>
      <c r="GA11" s="315"/>
      <c r="GB11" s="315"/>
      <c r="GC11" s="315"/>
      <c r="GD11" s="315"/>
      <c r="GE11" s="315"/>
      <c r="GF11" s="315"/>
      <c r="GG11" s="315"/>
      <c r="GH11" s="315"/>
      <c r="GI11" s="315"/>
      <c r="GJ11" s="315"/>
      <c r="GK11" s="315"/>
      <c r="GL11" s="315"/>
      <c r="GM11" s="315"/>
      <c r="GN11" s="315"/>
      <c r="GO11" s="315"/>
      <c r="GP11" s="315"/>
      <c r="GQ11" s="315"/>
      <c r="GR11" s="315"/>
      <c r="GS11" s="315"/>
      <c r="GT11" s="315"/>
      <c r="GU11" s="315"/>
      <c r="GV11" s="315"/>
      <c r="GW11" s="315"/>
    </row>
    <row r="12" spans="1:205" ht="20.100000000000001" customHeight="1" thickBot="1" x14ac:dyDescent="0.35">
      <c r="A12" s="441"/>
      <c r="B12" s="311"/>
      <c r="C12" s="311"/>
      <c r="D12" s="348"/>
      <c r="E12" s="348"/>
      <c r="F12" s="311"/>
      <c r="G12" s="311"/>
      <c r="H12" s="311"/>
      <c r="I12" s="37"/>
      <c r="J12" s="37"/>
      <c r="K12" s="37"/>
      <c r="L12" s="37"/>
      <c r="M12" s="37"/>
      <c r="N12" s="37"/>
      <c r="O12" s="37"/>
      <c r="P12" s="37"/>
      <c r="Q12" s="207"/>
      <c r="R12" s="207"/>
      <c r="S12" s="207"/>
      <c r="T12" s="37"/>
      <c r="U12" s="327"/>
      <c r="V12" s="331"/>
      <c r="W12" s="259"/>
      <c r="X12" s="277"/>
      <c r="Y12" s="277"/>
      <c r="Z12" s="277"/>
      <c r="AA12" s="277"/>
      <c r="AB12" s="277"/>
      <c r="AC12" s="277"/>
      <c r="AD12" s="277"/>
      <c r="AE12" s="277"/>
      <c r="AF12" s="297"/>
      <c r="AJ12" s="261"/>
      <c r="AN12" s="261"/>
      <c r="AS12" s="261"/>
      <c r="AW12" s="261"/>
      <c r="BB12" s="261"/>
      <c r="BF12" s="261"/>
      <c r="BK12" s="261"/>
      <c r="BO12" s="261"/>
      <c r="BT12" s="261"/>
      <c r="BX12" s="261"/>
      <c r="CC12" s="261"/>
      <c r="CG12" s="261"/>
      <c r="CL12" s="261"/>
      <c r="CP12" s="261"/>
      <c r="CU12" s="261"/>
      <c r="CY12" s="261"/>
      <c r="DD12" s="261"/>
      <c r="DH12" s="261"/>
      <c r="DM12" s="261"/>
      <c r="DQ12" s="261"/>
      <c r="DV12" s="261"/>
      <c r="DZ12" s="261"/>
      <c r="EE12" s="261"/>
      <c r="EI12" s="261"/>
    </row>
    <row r="13" spans="1:205" ht="20.100000000000001" customHeight="1" x14ac:dyDescent="0.3">
      <c r="A13" s="278" t="s">
        <v>1475</v>
      </c>
      <c r="B13" s="278" t="s">
        <v>350</v>
      </c>
      <c r="C13" s="278" t="s">
        <v>1476</v>
      </c>
      <c r="D13" s="347"/>
      <c r="E13" s="278" t="s">
        <v>349</v>
      </c>
      <c r="F13" s="278" t="s">
        <v>1477</v>
      </c>
      <c r="G13" s="419"/>
      <c r="H13" s="311"/>
      <c r="I13" s="278" t="s">
        <v>348</v>
      </c>
      <c r="J13" s="282" t="s">
        <v>1478</v>
      </c>
      <c r="K13" s="278" t="s">
        <v>347</v>
      </c>
      <c r="L13" s="278" t="s">
        <v>1479</v>
      </c>
      <c r="M13" s="278" t="s">
        <v>346</v>
      </c>
      <c r="N13" s="330"/>
      <c r="O13" s="278" t="s">
        <v>1480</v>
      </c>
      <c r="P13" s="278" t="s">
        <v>345</v>
      </c>
      <c r="Q13" s="278" t="s">
        <v>1481</v>
      </c>
      <c r="R13" s="278" t="s">
        <v>344</v>
      </c>
      <c r="S13" s="278" t="s">
        <v>1482</v>
      </c>
      <c r="T13" s="278" t="s">
        <v>343</v>
      </c>
      <c r="U13" s="278" t="s">
        <v>1483</v>
      </c>
      <c r="V13" s="331"/>
      <c r="W13" s="324"/>
      <c r="X13" s="280" t="s">
        <v>483</v>
      </c>
      <c r="Y13" s="280" t="s">
        <v>482</v>
      </c>
      <c r="Z13" s="280" t="s">
        <v>480</v>
      </c>
      <c r="AA13" s="277"/>
      <c r="AB13" s="280" t="s">
        <v>1503</v>
      </c>
      <c r="AC13" s="280" t="s">
        <v>1502</v>
      </c>
      <c r="AD13" s="280" t="s">
        <v>1501</v>
      </c>
      <c r="AE13" s="280" t="s">
        <v>1500</v>
      </c>
      <c r="AF13" s="280" t="s">
        <v>444</v>
      </c>
      <c r="AJ13" s="261"/>
      <c r="AN13" s="261"/>
      <c r="AS13" s="261"/>
      <c r="AW13" s="261"/>
      <c r="BB13" s="261"/>
      <c r="BF13" s="261"/>
      <c r="BK13" s="261"/>
      <c r="BO13" s="261"/>
      <c r="BT13" s="261"/>
      <c r="BX13" s="261"/>
      <c r="CC13" s="261"/>
      <c r="CG13" s="261"/>
      <c r="CL13" s="261"/>
      <c r="CP13" s="261"/>
      <c r="CU13" s="261"/>
      <c r="CY13" s="261"/>
      <c r="DD13" s="261"/>
      <c r="DH13" s="261"/>
      <c r="DM13" s="261"/>
      <c r="DQ13" s="261"/>
      <c r="DV13" s="261"/>
      <c r="DZ13" s="261"/>
      <c r="EE13" s="261"/>
      <c r="EI13" s="261"/>
    </row>
    <row r="14" spans="1:205" s="247" customFormat="1" ht="20.100000000000001" customHeight="1" x14ac:dyDescent="0.3">
      <c r="A14" s="246" t="str">
        <f>IFERROR(VLOOKUP(A13,'자율관 배정 R1'!$B:$F,3,FALSE)&amp;"("&amp;VLOOKUP(A13,'자율관 배정 R1'!$B:$E,2,FALSE)&amp;")","")</f>
        <v>오혜빈(3)</v>
      </c>
      <c r="B14" s="246" t="str">
        <f>IFERROR(VLOOKUP(B13,'자율관 배정 R1'!$B:$F,3,FALSE)&amp;"("&amp;VLOOKUP(B13,'자율관 배정 R1'!$B:$E,2,FALSE)&amp;")","")</f>
        <v>권민성(3)</v>
      </c>
      <c r="C14" s="246" t="str">
        <f>IFERROR(VLOOKUP(C13,'자율관 배정 R1'!$B:$F,3,FALSE)&amp;"("&amp;VLOOKUP(C13,'자율관 배정 R1'!$B:$E,2,FALSE)&amp;")","")</f>
        <v>문서영(3)</v>
      </c>
      <c r="D14" s="350"/>
      <c r="E14" s="246" t="str">
        <f>IFERROR(VLOOKUP(E13,'자율관 배정 R1'!$B:$F,3,FALSE)&amp;"("&amp;VLOOKUP(E13,'자율관 배정 R1'!$B:$E,2,FALSE)&amp;")","")</f>
        <v>허윤지(2)</v>
      </c>
      <c r="F14" s="246" t="str">
        <f>IFERROR(VLOOKUP(F13,'자율관 배정 R1'!$B:$F,3,FALSE)&amp;"("&amp;VLOOKUP(F13,'자율관 배정 R1'!$B:$E,2,FALSE)&amp;")","")</f>
        <v>김유안(3)</v>
      </c>
      <c r="G14" s="322"/>
      <c r="H14" s="311"/>
      <c r="I14" s="246" t="str">
        <f>IFERROR(VLOOKUP(I13,'자율관 배정 R1'!$B:$F,3,FALSE)&amp;"("&amp;VLOOKUP(I13,'자율관 배정 R1'!$B:$E,2,FALSE)&amp;")","")</f>
        <v>한지우(2)</v>
      </c>
      <c r="J14" s="246" t="str">
        <f>IFERROR(VLOOKUP(J13,'자율관 배정 R1'!$B:$F,3,FALSE)&amp;"("&amp;VLOOKUP(J13,'자율관 배정 R1'!$B:$E,2,FALSE)&amp;")","")</f>
        <v>김유리(3)</v>
      </c>
      <c r="K14" s="246" t="str">
        <f>IFERROR(VLOOKUP(K13,'자율관 배정 R1'!$B:$F,3,FALSE)&amp;"("&amp;VLOOKUP(K13,'자율관 배정 R1'!$B:$E,2,FALSE)&amp;")","")</f>
        <v>이은(2)</v>
      </c>
      <c r="L14" s="246" t="str">
        <f>IFERROR(VLOOKUP(L13,'자율관 배정 R1'!$B:$F,3,FALSE)&amp;"("&amp;VLOOKUP(L13,'자율관 배정 R1'!$B:$E,2,FALSE)&amp;")","")</f>
        <v>한예현(2)</v>
      </c>
      <c r="M14" s="246" t="str">
        <f>IFERROR(VLOOKUP(M13,'자율관 배정 R1'!$B:$F,3,FALSE)&amp;"("&amp;VLOOKUP(M13,'자율관 배정 R1'!$B:$E,2,FALSE)&amp;")","")</f>
        <v>이서빈(2)</v>
      </c>
      <c r="N14" s="330"/>
      <c r="O14" s="466" t="str">
        <f>IFERROR(VLOOKUP(O13,'자율관 배정 R1'!$B:$F,3,FALSE)&amp;"("&amp;VLOOKUP(O13,'자율관 배정 R1'!$B:$E,2,FALSE)&amp;")","")</f>
        <v>최예빈(2)</v>
      </c>
      <c r="P14" s="466" t="str">
        <f>IFERROR(VLOOKUP(P13,'자율관 배정 R1'!$B:$F,3,FALSE)&amp;"("&amp;VLOOKUP(P13,'자율관 배정 R1'!$B:$E,2,FALSE)&amp;")","")</f>
        <v>이나연(2)</v>
      </c>
      <c r="Q14" s="246" t="str">
        <f>IFERROR(VLOOKUP(Q13,'자율관 배정 R1'!$B:$F,3,FALSE)&amp;"("&amp;VLOOKUP(Q13,'자율관 배정 R1'!$B:$E,2,FALSE)&amp;")","")</f>
        <v>유지원(2)</v>
      </c>
      <c r="R14" s="410" t="str">
        <f>IFERROR(VLOOKUP(R13,'자율관 배정 R1'!$B:$F,3,FALSE)&amp;"("&amp;VLOOKUP(R13,'자율관 배정 R1'!$B:$E,2,FALSE)&amp;")","")</f>
        <v>박혜은(2)</v>
      </c>
      <c r="S14" s="246" t="str">
        <f>IFERROR(VLOOKUP(S13,'자율관 배정 R1'!$B:$F,3,FALSE)&amp;"("&amp;VLOOKUP(S13,'자율관 배정 R1'!$B:$E,2,FALSE)&amp;")","")</f>
        <v>안수인(2)</v>
      </c>
      <c r="T14" s="246" t="str">
        <f>IFERROR(VLOOKUP(T13,'자율관 배정 R1'!$B:$F,3,FALSE)&amp;"("&amp;VLOOKUP(T13,'자율관 배정 R1'!$B:$E,2,FALSE)&amp;")","")</f>
        <v>한지민(10)</v>
      </c>
      <c r="U14" s="246" t="str">
        <f>IFERROR(VLOOKUP(U13,'자율관 배정 R1'!$B:$F,3,FALSE)&amp;"("&amp;VLOOKUP(U13,'자율관 배정 R1'!$B:$E,2,FALSE)&amp;")","")</f>
        <v>이현(4)</v>
      </c>
      <c r="V14" s="442"/>
      <c r="W14" s="325"/>
      <c r="X14" s="246" t="str">
        <f>IFERROR(VLOOKUP(X13,'자율관 배정 R1'!$B:$F,3,FALSE)&amp;"("&amp;VLOOKUP(X13,'자율관 배정 R1'!$B:$E,2,FALSE)&amp;")","")</f>
        <v>이지수(9)</v>
      </c>
      <c r="Y14" s="246" t="str">
        <f>IFERROR(VLOOKUP(Y13,'자율관 배정 R1'!$B:$F,3,FALSE)&amp;"("&amp;VLOOKUP(Y13,'자율관 배정 R1'!$B:$E,2,FALSE)&amp;")","")</f>
        <v>이선영(9)</v>
      </c>
      <c r="Z14" s="246" t="str">
        <f>IFERROR(VLOOKUP(Z13,'자율관 배정 R1'!$B:$F,3,FALSE)&amp;"("&amp;VLOOKUP(Z13,'자율관 배정 R1'!$B:$E,2,FALSE)&amp;")","")</f>
        <v>이수진(9)</v>
      </c>
      <c r="AA14" s="277"/>
      <c r="AB14" s="246" t="str">
        <f>IFERROR(VLOOKUP(AB13,'자율관 배정 R1'!$B:$F,3,FALSE)&amp;"("&amp;VLOOKUP(AB13,'자율관 배정 R1'!$B:$E,2,FALSE)&amp;")","")</f>
        <v>지수민(8)</v>
      </c>
      <c r="AC14" s="246" t="str">
        <f>IFERROR(VLOOKUP(AC13,'자율관 배정 R1'!$B:$F,3,FALSE)&amp;"("&amp;VLOOKUP(AC13,'자율관 배정 R1'!$B:$E,2,FALSE)&amp;")","")</f>
        <v>전성주(7)</v>
      </c>
      <c r="AD14" s="246" t="str">
        <f>IFERROR(VLOOKUP(AD13,'자율관 배정 R1'!$B:$F,3,FALSE)&amp;"("&amp;VLOOKUP(AD13,'자율관 배정 R1'!$B:$E,2,FALSE)&amp;")","")</f>
        <v>박민영(7)</v>
      </c>
      <c r="AE14" s="246" t="str">
        <f>IFERROR(VLOOKUP(AE13,'자율관 배정 R1'!$B:$F,3,FALSE)&amp;"("&amp;VLOOKUP(AE13,'자율관 배정 R1'!$B:$E,2,FALSE)&amp;")","")</f>
        <v>()</v>
      </c>
      <c r="AF14" s="246" t="str">
        <f>IFERROR(VLOOKUP(AF13,'자율관 배정 R1'!$B:$F,3,FALSE)&amp;"("&amp;VLOOKUP(AF13,'자율관 배정 R1'!$B:$E,2,FALSE)&amp;")","")</f>
        <v>조효인(4)</v>
      </c>
      <c r="AG14" s="281"/>
      <c r="AH14" s="281"/>
      <c r="AI14" s="281"/>
      <c r="AJ14" s="261"/>
      <c r="AK14" s="281"/>
      <c r="AL14" s="281"/>
      <c r="AM14" s="281"/>
      <c r="AN14" s="261"/>
      <c r="AO14" s="281"/>
      <c r="AP14" s="281"/>
      <c r="AQ14" s="281"/>
      <c r="AR14" s="281"/>
      <c r="AS14" s="261"/>
      <c r="AT14" s="281"/>
      <c r="AU14" s="281"/>
      <c r="AV14" s="281"/>
      <c r="AW14" s="261"/>
      <c r="AX14" s="281"/>
      <c r="AY14" s="281"/>
      <c r="AZ14" s="281"/>
      <c r="BA14" s="281"/>
      <c r="BB14" s="261"/>
      <c r="BC14" s="281"/>
      <c r="BD14" s="281"/>
      <c r="BE14" s="281"/>
      <c r="BF14" s="261"/>
      <c r="BG14" s="281"/>
      <c r="BH14" s="281"/>
      <c r="BI14" s="281"/>
      <c r="BJ14" s="281"/>
      <c r="BK14" s="261"/>
      <c r="BL14" s="281"/>
      <c r="BM14" s="281"/>
      <c r="BN14" s="281"/>
      <c r="BO14" s="261"/>
      <c r="BP14" s="281"/>
      <c r="BQ14" s="281"/>
      <c r="BR14" s="281"/>
      <c r="BS14" s="281"/>
      <c r="BT14" s="261"/>
      <c r="BU14" s="281"/>
      <c r="BV14" s="281"/>
      <c r="BW14" s="281"/>
      <c r="BX14" s="261"/>
      <c r="BY14" s="281"/>
      <c r="BZ14" s="281"/>
      <c r="CA14" s="281"/>
      <c r="CB14" s="281"/>
      <c r="CC14" s="261"/>
      <c r="CD14" s="281"/>
      <c r="CE14" s="281"/>
      <c r="CF14" s="281"/>
      <c r="CG14" s="261"/>
      <c r="CH14" s="281"/>
      <c r="CI14" s="281"/>
      <c r="CJ14" s="281"/>
      <c r="CK14" s="281"/>
      <c r="CL14" s="261"/>
      <c r="CM14" s="281"/>
      <c r="CN14" s="281"/>
      <c r="CO14" s="281"/>
      <c r="CP14" s="261"/>
      <c r="CQ14" s="281"/>
      <c r="CR14" s="281"/>
      <c r="CS14" s="281"/>
      <c r="CT14" s="281"/>
      <c r="CU14" s="261"/>
      <c r="CV14" s="281"/>
      <c r="CW14" s="281"/>
      <c r="CX14" s="281"/>
      <c r="CY14" s="261"/>
      <c r="CZ14" s="281"/>
      <c r="DA14" s="281"/>
      <c r="DB14" s="281"/>
      <c r="DC14" s="281"/>
      <c r="DD14" s="261"/>
      <c r="DE14" s="281"/>
      <c r="DF14" s="281"/>
      <c r="DG14" s="281"/>
      <c r="DH14" s="261"/>
      <c r="DI14" s="281"/>
      <c r="DJ14" s="281"/>
      <c r="DK14" s="281"/>
      <c r="DL14" s="281"/>
      <c r="DM14" s="261"/>
      <c r="DN14" s="281"/>
      <c r="DO14" s="281"/>
      <c r="DP14" s="281"/>
      <c r="DQ14" s="261"/>
      <c r="DR14" s="281"/>
      <c r="DS14" s="281"/>
      <c r="DT14" s="281"/>
      <c r="DU14" s="281"/>
      <c r="DV14" s="261"/>
      <c r="DW14" s="281"/>
      <c r="DX14" s="281"/>
      <c r="DY14" s="281"/>
      <c r="DZ14" s="261"/>
      <c r="EA14" s="281"/>
      <c r="EB14" s="281"/>
      <c r="EC14" s="281"/>
      <c r="ED14" s="281"/>
      <c r="EE14" s="261"/>
      <c r="EF14" s="281"/>
      <c r="EG14" s="281"/>
      <c r="EH14" s="281"/>
      <c r="EI14" s="261"/>
      <c r="EJ14" s="281"/>
      <c r="EK14" s="281"/>
      <c r="EL14" s="204"/>
      <c r="EM14" s="204"/>
      <c r="EN14" s="204"/>
      <c r="EO14" s="204"/>
      <c r="EP14" s="204"/>
      <c r="EQ14" s="204"/>
      <c r="ER14" s="204"/>
      <c r="ES14" s="204"/>
      <c r="ET14" s="204"/>
      <c r="EU14" s="204"/>
      <c r="EV14" s="204"/>
      <c r="EW14" s="204"/>
      <c r="EX14" s="204"/>
      <c r="EY14" s="204"/>
      <c r="EZ14" s="204"/>
      <c r="FA14" s="204"/>
      <c r="FB14" s="204"/>
      <c r="FC14" s="204"/>
      <c r="FD14" s="204"/>
      <c r="FE14" s="204"/>
      <c r="FF14" s="204"/>
      <c r="FG14" s="204"/>
      <c r="FH14" s="204"/>
      <c r="FI14" s="204"/>
      <c r="FJ14" s="204"/>
      <c r="FK14" s="204"/>
      <c r="FL14" s="204"/>
      <c r="FM14" s="204"/>
      <c r="FN14" s="204"/>
      <c r="FO14" s="204"/>
      <c r="FP14" s="204"/>
      <c r="FQ14" s="204"/>
      <c r="FR14" s="204"/>
      <c r="FS14" s="204"/>
      <c r="FT14" s="204"/>
      <c r="FU14" s="204"/>
      <c r="FV14" s="204"/>
      <c r="FW14" s="204"/>
      <c r="FX14" s="204"/>
      <c r="FY14" s="204"/>
      <c r="FZ14" s="204"/>
      <c r="GA14" s="204"/>
      <c r="GB14" s="204"/>
      <c r="GC14" s="204"/>
      <c r="GD14" s="204"/>
      <c r="GE14" s="204"/>
      <c r="GF14" s="204"/>
      <c r="GG14" s="204"/>
      <c r="GH14" s="204"/>
      <c r="GI14" s="204"/>
      <c r="GJ14" s="204"/>
      <c r="GK14" s="204"/>
      <c r="GL14" s="204"/>
      <c r="GM14" s="204"/>
      <c r="GN14" s="204"/>
      <c r="GO14" s="204"/>
      <c r="GP14" s="204"/>
      <c r="GQ14" s="204"/>
      <c r="GR14" s="204"/>
      <c r="GS14" s="204"/>
      <c r="GT14" s="204"/>
      <c r="GU14" s="204"/>
      <c r="GV14" s="204"/>
      <c r="GW14" s="204"/>
    </row>
    <row r="15" spans="1:205" s="319" customFormat="1" ht="19.5" customHeight="1" thickBot="1" x14ac:dyDescent="0.35">
      <c r="A15" s="320" t="str">
        <f>IFERROR(VLOOKUP(A13,'자율관 배정 R1'!$B:$F,5,FALSE)&amp;"","")</f>
        <v>EP면학X</v>
      </c>
      <c r="B15" s="320" t="str">
        <f>IFERROR(VLOOKUP(B13,'자율관 배정 R1'!$B:$F,5,FALSE)&amp;"","")</f>
        <v>EP면학X</v>
      </c>
      <c r="C15" s="320" t="str">
        <f>IFERROR(VLOOKUP(C13,'자율관 배정 R1'!$B:$F,5,FALSE)&amp;"","")</f>
        <v>EP면학X</v>
      </c>
      <c r="D15" s="320" t="str">
        <f>IFERROR(VLOOKUP(D13,'자율관 배정 R1'!$B:$F,5,FALSE)&amp;"","")</f>
        <v/>
      </c>
      <c r="E15" s="320" t="str">
        <f>IFERROR(VLOOKUP(E13,'자율관 배정 R1'!$B:$F,5,FALSE)&amp;"","")</f>
        <v>기숙사</v>
      </c>
      <c r="F15" s="320" t="str">
        <f>IFERROR(VLOOKUP(F13,'자율관 배정 R1'!$B:$F,5,FALSE)&amp;"","")</f>
        <v>EP면학X</v>
      </c>
      <c r="G15" s="424"/>
      <c r="H15" s="311"/>
      <c r="I15" s="320" t="str">
        <f>IFERROR(VLOOKUP(I13,'자율관 배정 R1'!$B:$F,5,FALSE)&amp;"","")</f>
        <v>월화수목</v>
      </c>
      <c r="J15" s="320" t="str">
        <f>IFERROR(VLOOKUP(J13,'자율관 배정 R1'!$B:$F,5,FALSE)&amp;"","")</f>
        <v>EP면학X</v>
      </c>
      <c r="K15" s="320" t="str">
        <f>IFERROR(VLOOKUP(K13,'자율관 배정 R1'!$B:$F,5,FALSE)&amp;"","")</f>
        <v>기숙사</v>
      </c>
      <c r="L15" s="320" t="str">
        <f>IFERROR(VLOOKUP(L13,'자율관 배정 R1'!$B:$F,5,FALSE)&amp;"","")</f>
        <v>EP면학X</v>
      </c>
      <c r="M15" s="320" t="str">
        <f>IFERROR(VLOOKUP(M13,'자율관 배정 R1'!$B:$F,5,FALSE)&amp;"","")</f>
        <v>EP면학X</v>
      </c>
      <c r="N15" s="330"/>
      <c r="O15" s="320" t="str">
        <f>IFERROR(VLOOKUP(O13,'자율관 배정 R1'!$B:$F,5,FALSE)&amp;"","")</f>
        <v>EP면학X</v>
      </c>
      <c r="P15" s="320" t="str">
        <f>IFERROR(VLOOKUP(P13,'자율관 배정 R1'!$B:$F,5,FALSE)&amp;"","")</f>
        <v>EP면학X</v>
      </c>
      <c r="Q15" s="320" t="str">
        <f>IFERROR(VLOOKUP(Q13,'자율관 배정 R1'!$B:$F,5,FALSE)&amp;"","")</f>
        <v>EP면학X</v>
      </c>
      <c r="R15" s="320" t="str">
        <f>IFERROR(VLOOKUP(R13,'자율관 배정 R1'!$B:$F,5,FALSE)&amp;"","")</f>
        <v>기숙사</v>
      </c>
      <c r="S15" s="320" t="str">
        <f>IFERROR(VLOOKUP(S13,'자율관 배정 R1'!$B:$F,5,FALSE)&amp;"","")</f>
        <v>EP면학X</v>
      </c>
      <c r="T15" s="320" t="str">
        <f>IFERROR(VLOOKUP(T13,'자율관 배정 R1'!$B:$F,5,FALSE)&amp;"","")</f>
        <v>기숙사</v>
      </c>
      <c r="U15" s="320" t="str">
        <f>IFERROR(VLOOKUP(U13,'자율관 배정 R1'!$B:$F,5,FALSE)&amp;"","")</f>
        <v>EP면학X</v>
      </c>
      <c r="V15" s="442"/>
      <c r="W15" s="326"/>
      <c r="X15" s="320" t="str">
        <f>IFERROR(VLOOKUP(X13,'자율관 배정 R1'!$B:$F,5,FALSE)&amp;"","")</f>
        <v>월화수목</v>
      </c>
      <c r="Y15" s="320" t="str">
        <f>IFERROR(VLOOKUP(Y13,'자율관 배정 R1'!$B:$F,5,FALSE)&amp;"","")</f>
        <v>기숙사</v>
      </c>
      <c r="Z15" s="320" t="str">
        <f>IFERROR(VLOOKUP(Z13,'자율관 배정 R1'!$B:$F,5,FALSE)&amp;"","")</f>
        <v>월화수목</v>
      </c>
      <c r="AA15" s="277"/>
      <c r="AB15" s="320" t="str">
        <f>IFERROR(VLOOKUP(AB13,'자율관 배정 R1'!$B:$F,5,FALSE)&amp;"","")</f>
        <v>기숙사</v>
      </c>
      <c r="AC15" s="320" t="str">
        <f>IFERROR(VLOOKUP(AC13,'자율관 배정 R1'!$B:$F,5,FALSE)&amp;"","")</f>
        <v>기숙사</v>
      </c>
      <c r="AD15" s="320" t="str">
        <f>IFERROR(VLOOKUP(AD13,'자율관 배정 R1'!$B:$F,5,FALSE)&amp;"","")</f>
        <v>기숙사</v>
      </c>
      <c r="AE15" s="320" t="str">
        <f>IFERROR(VLOOKUP(AE13,'자율관 배정 R1'!$B:$F,5,FALSE)&amp;"","")</f>
        <v/>
      </c>
      <c r="AF15" s="320" t="str">
        <f>IFERROR(VLOOKUP(AF13,'자율관 배정 R1'!$B:$F,5,FALSE)&amp;"","")</f>
        <v>기숙사</v>
      </c>
      <c r="AG15" s="315"/>
      <c r="AH15" s="315"/>
      <c r="AI15" s="315"/>
      <c r="AJ15" s="315"/>
      <c r="AK15" s="315"/>
      <c r="AL15" s="315"/>
      <c r="AM15" s="315"/>
      <c r="AN15" s="315"/>
      <c r="AO15" s="315"/>
      <c r="AP15" s="315"/>
      <c r="AQ15" s="315"/>
      <c r="AR15" s="315"/>
      <c r="AS15" s="315"/>
      <c r="AT15" s="315"/>
      <c r="AU15" s="315"/>
      <c r="AV15" s="315"/>
      <c r="AW15" s="315"/>
      <c r="AX15" s="315"/>
      <c r="AY15" s="315"/>
      <c r="AZ15" s="315"/>
      <c r="BA15" s="315"/>
      <c r="BB15" s="315"/>
      <c r="BC15" s="315"/>
      <c r="BD15" s="315"/>
      <c r="BE15" s="315"/>
      <c r="BF15" s="315"/>
      <c r="BG15" s="315"/>
      <c r="BH15" s="315"/>
      <c r="BI15" s="315"/>
      <c r="BJ15" s="315"/>
      <c r="BK15" s="315"/>
      <c r="BL15" s="315"/>
      <c r="BM15" s="315"/>
      <c r="BN15" s="315"/>
      <c r="BO15" s="315"/>
      <c r="BP15" s="315"/>
      <c r="BQ15" s="315"/>
      <c r="BR15" s="315"/>
      <c r="BS15" s="315"/>
      <c r="BT15" s="315"/>
      <c r="BU15" s="315"/>
      <c r="BV15" s="315"/>
      <c r="BW15" s="315"/>
      <c r="BX15" s="315"/>
      <c r="BY15" s="315"/>
      <c r="BZ15" s="315"/>
      <c r="CA15" s="315"/>
      <c r="CB15" s="315"/>
      <c r="CC15" s="315"/>
      <c r="CD15" s="315"/>
      <c r="CE15" s="315"/>
      <c r="CF15" s="315"/>
      <c r="CG15" s="315"/>
      <c r="CH15" s="315"/>
      <c r="CI15" s="315"/>
      <c r="CJ15" s="315"/>
      <c r="CK15" s="315"/>
      <c r="CL15" s="315"/>
      <c r="CM15" s="315"/>
      <c r="CN15" s="315"/>
      <c r="CO15" s="315"/>
      <c r="CP15" s="315"/>
      <c r="CQ15" s="315"/>
      <c r="CR15" s="315"/>
      <c r="CS15" s="315"/>
      <c r="CT15" s="315"/>
      <c r="CU15" s="315"/>
      <c r="CV15" s="315"/>
      <c r="CW15" s="315"/>
      <c r="CX15" s="315"/>
      <c r="CY15" s="315"/>
      <c r="CZ15" s="315"/>
      <c r="DA15" s="315"/>
      <c r="DB15" s="315"/>
      <c r="DC15" s="315"/>
      <c r="DD15" s="315"/>
      <c r="DE15" s="315"/>
      <c r="DF15" s="315"/>
      <c r="DG15" s="315"/>
      <c r="DH15" s="315"/>
      <c r="DI15" s="315"/>
      <c r="DJ15" s="315"/>
      <c r="DK15" s="315"/>
      <c r="DL15" s="315"/>
      <c r="DM15" s="315"/>
      <c r="DN15" s="315"/>
      <c r="DO15" s="315"/>
      <c r="DP15" s="315"/>
      <c r="DQ15" s="315"/>
      <c r="DR15" s="315"/>
      <c r="DS15" s="315"/>
      <c r="DT15" s="315"/>
      <c r="DU15" s="315"/>
      <c r="DV15" s="315"/>
      <c r="DW15" s="315"/>
      <c r="DX15" s="315"/>
      <c r="DY15" s="315"/>
      <c r="DZ15" s="315"/>
      <c r="EA15" s="315"/>
      <c r="EB15" s="315"/>
      <c r="EC15" s="315"/>
      <c r="ED15" s="315"/>
      <c r="EE15" s="315"/>
      <c r="EF15" s="315"/>
      <c r="EG15" s="315"/>
      <c r="EH15" s="315"/>
      <c r="EI15" s="315"/>
      <c r="EJ15" s="315"/>
      <c r="EK15" s="315"/>
      <c r="EL15" s="315"/>
      <c r="EM15" s="315"/>
      <c r="EN15" s="315"/>
      <c r="EO15" s="315"/>
      <c r="EP15" s="315"/>
      <c r="EQ15" s="315"/>
      <c r="ER15" s="315"/>
      <c r="ES15" s="315"/>
      <c r="ET15" s="315"/>
      <c r="EU15" s="315"/>
      <c r="EV15" s="315"/>
      <c r="EW15" s="315"/>
      <c r="EX15" s="315"/>
      <c r="EY15" s="315"/>
      <c r="EZ15" s="315"/>
      <c r="FA15" s="315"/>
      <c r="FB15" s="315"/>
      <c r="FC15" s="315"/>
      <c r="FD15" s="315"/>
      <c r="FE15" s="315"/>
      <c r="FF15" s="315"/>
      <c r="FG15" s="315"/>
      <c r="FH15" s="315"/>
      <c r="FI15" s="315"/>
      <c r="FJ15" s="315"/>
      <c r="FK15" s="315"/>
      <c r="FL15" s="315"/>
      <c r="FM15" s="315"/>
      <c r="FN15" s="315"/>
      <c r="FO15" s="315"/>
      <c r="FP15" s="315"/>
      <c r="FQ15" s="315"/>
      <c r="FR15" s="315"/>
      <c r="FS15" s="315"/>
      <c r="FT15" s="315"/>
      <c r="FU15" s="315"/>
      <c r="FV15" s="315"/>
      <c r="FW15" s="315"/>
      <c r="FX15" s="315"/>
      <c r="FY15" s="315"/>
      <c r="FZ15" s="315"/>
      <c r="GA15" s="315"/>
      <c r="GB15" s="315"/>
      <c r="GC15" s="315"/>
      <c r="GD15" s="315"/>
      <c r="GE15" s="315"/>
      <c r="GF15" s="315"/>
      <c r="GG15" s="315"/>
      <c r="GH15" s="315"/>
      <c r="GI15" s="315"/>
      <c r="GJ15" s="315"/>
      <c r="GK15" s="315"/>
      <c r="GL15" s="315"/>
      <c r="GM15" s="315"/>
      <c r="GN15" s="315"/>
      <c r="GO15" s="315"/>
      <c r="GP15" s="315"/>
      <c r="GQ15" s="315"/>
      <c r="GR15" s="315"/>
      <c r="GS15" s="315"/>
      <c r="GT15" s="315"/>
      <c r="GU15" s="315"/>
      <c r="GV15" s="315"/>
      <c r="GW15" s="315"/>
    </row>
    <row r="16" spans="1:205" ht="19.5" customHeight="1" x14ac:dyDescent="0.3">
      <c r="A16" s="278" t="s">
        <v>342</v>
      </c>
      <c r="B16" s="278" t="s">
        <v>1484</v>
      </c>
      <c r="C16" s="278" t="s">
        <v>341</v>
      </c>
      <c r="D16" s="347"/>
      <c r="E16" s="278" t="s">
        <v>1485</v>
      </c>
      <c r="F16" s="282" t="s">
        <v>340</v>
      </c>
      <c r="G16" s="423"/>
      <c r="H16" s="311"/>
      <c r="I16" s="278" t="s">
        <v>1486</v>
      </c>
      <c r="J16" s="278" t="s">
        <v>339</v>
      </c>
      <c r="K16" s="278" t="s">
        <v>1487</v>
      </c>
      <c r="L16" s="278" t="s">
        <v>338</v>
      </c>
      <c r="M16" s="278" t="s">
        <v>1488</v>
      </c>
      <c r="N16" s="330"/>
      <c r="O16" s="278" t="s">
        <v>337</v>
      </c>
      <c r="P16" s="278" t="s">
        <v>1489</v>
      </c>
      <c r="Q16" s="278" t="s">
        <v>336</v>
      </c>
      <c r="R16" s="278" t="s">
        <v>1490</v>
      </c>
      <c r="S16" s="282" t="s">
        <v>335</v>
      </c>
      <c r="T16" s="282" t="s">
        <v>1491</v>
      </c>
      <c r="U16" s="278" t="s">
        <v>334</v>
      </c>
      <c r="V16" s="442"/>
      <c r="W16" s="326"/>
      <c r="X16" s="280" t="s">
        <v>488</v>
      </c>
      <c r="Y16" s="280" t="s">
        <v>489</v>
      </c>
      <c r="Z16" s="280" t="s">
        <v>491</v>
      </c>
      <c r="AA16" s="277"/>
      <c r="AB16" s="280" t="s">
        <v>492</v>
      </c>
      <c r="AC16" s="280" t="s">
        <v>494</v>
      </c>
      <c r="AD16" s="280" t="s">
        <v>431</v>
      </c>
      <c r="AE16" s="280" t="s">
        <v>432</v>
      </c>
      <c r="AF16" s="280" t="s">
        <v>434</v>
      </c>
      <c r="AJ16" s="261"/>
      <c r="AN16" s="261"/>
      <c r="AS16" s="261"/>
      <c r="AW16" s="261"/>
      <c r="BB16" s="261"/>
      <c r="BF16" s="261"/>
      <c r="BK16" s="261"/>
      <c r="BO16" s="261"/>
      <c r="BT16" s="261"/>
      <c r="BX16" s="261"/>
      <c r="CC16" s="261"/>
      <c r="CG16" s="261"/>
      <c r="CL16" s="261"/>
      <c r="CP16" s="261"/>
      <c r="CU16" s="261"/>
      <c r="CY16" s="261"/>
      <c r="DD16" s="261"/>
      <c r="DH16" s="261"/>
      <c r="DM16" s="261"/>
      <c r="DQ16" s="261"/>
      <c r="DV16" s="261"/>
      <c r="DZ16" s="261"/>
      <c r="EE16" s="261"/>
      <c r="EI16" s="261"/>
    </row>
    <row r="17" spans="1:205" s="247" customFormat="1" ht="20.100000000000001" customHeight="1" x14ac:dyDescent="0.3">
      <c r="A17" s="246" t="str">
        <f>IFERROR(VLOOKUP(A16,'자율관 배정 R1'!$B:$F,3,FALSE)&amp;"("&amp;VLOOKUP(A16,'자율관 배정 R1'!$B:$E,2,FALSE)&amp;")","")</f>
        <v>임소은(4)</v>
      </c>
      <c r="B17" s="246" t="str">
        <f>IFERROR(VLOOKUP(B16,'자율관 배정 R1'!$B:$F,3,FALSE)&amp;"("&amp;VLOOKUP(B16,'자율관 배정 R1'!$B:$E,2,FALSE)&amp;")","")</f>
        <v>전아정(3)</v>
      </c>
      <c r="C17" s="246" t="str">
        <f>IFERROR(VLOOKUP(C16,'자율관 배정 R1'!$B:$F,3,FALSE)&amp;"("&amp;VLOOKUP(C16,'자율관 배정 R1'!$B:$E,2,FALSE)&amp;")","")</f>
        <v>이지효(4)</v>
      </c>
      <c r="D17" s="350"/>
      <c r="E17" s="246" t="str">
        <f>IFERROR(VLOOKUP(E16,'자율관 배정 R1'!$B:$F,3,FALSE)&amp;"("&amp;VLOOKUP(E16,'자율관 배정 R1'!$B:$E,2,FALSE)&amp;")","")</f>
        <v>장영우(3)</v>
      </c>
      <c r="F17" s="256" t="str">
        <f>IFERROR(VLOOKUP(F16,'자율관 배정 R1'!$B:$F,3,FALSE)&amp;"("&amp;VLOOKUP(F16,'자율관 배정 R1'!$B:$E,2,FALSE)&amp;")","")</f>
        <v>이다연(4)</v>
      </c>
      <c r="G17" s="425"/>
      <c r="H17" s="311"/>
      <c r="I17" s="246" t="str">
        <f>IFERROR(VLOOKUP(I16,'자율관 배정 R1'!$B:$F,3,FALSE)&amp;"("&amp;VLOOKUP(I16,'자율관 배정 R1'!$B:$E,2,FALSE)&amp;")","")</f>
        <v>이민선(3)</v>
      </c>
      <c r="J17" s="246" t="str">
        <f>IFERROR(VLOOKUP(J16,'자율관 배정 R1'!$B:$F,3,FALSE)&amp;"("&amp;VLOOKUP(J16,'자율관 배정 R1'!$B:$E,2,FALSE)&amp;")","")</f>
        <v>엄수영(4)</v>
      </c>
      <c r="K17" s="246" t="str">
        <f>IFERROR(VLOOKUP(K16,'자율관 배정 R1'!$B:$F,3,FALSE)&amp;"("&amp;VLOOKUP(K16,'자율관 배정 R1'!$B:$E,2,FALSE)&amp;")","")</f>
        <v>이나경(3)</v>
      </c>
      <c r="L17" s="246" t="str">
        <f>IFERROR(VLOOKUP(L16,'자율관 배정 R1'!$B:$F,3,FALSE)&amp;"("&amp;VLOOKUP(L16,'자율관 배정 R1'!$B:$E,2,FALSE)&amp;")","")</f>
        <v>박선영(4)</v>
      </c>
      <c r="M17" s="246" t="str">
        <f>IFERROR(VLOOKUP(M16,'자율관 배정 R1'!$B:$F,3,FALSE)&amp;"("&amp;VLOOKUP(M16,'자율관 배정 R1'!$B:$E,2,FALSE)&amp;")","")</f>
        <v>유초열(3)</v>
      </c>
      <c r="N17" s="330"/>
      <c r="O17" s="466" t="str">
        <f>IFERROR(VLOOKUP(O16,'자율관 배정 R1'!$B:$F,3,FALSE)&amp;"("&amp;VLOOKUP(O16,'자율관 배정 R1'!$B:$E,2,FALSE)&amp;")","")</f>
        <v>남효정(4)</v>
      </c>
      <c r="P17" s="466" t="str">
        <f>IFERROR(VLOOKUP(P16,'자율관 배정 R1'!$B:$F,3,FALSE)&amp;"("&amp;VLOOKUP(P16,'자율관 배정 R1'!$B:$E,2,FALSE)&amp;")","")</f>
        <v>남지윤(3)</v>
      </c>
      <c r="Q17" s="246" t="str">
        <f>IFERROR(VLOOKUP(Q16,'자율관 배정 R1'!$B:$F,3,FALSE)&amp;"("&amp;VLOOKUP(Q16,'자율관 배정 R1'!$B:$E,2,FALSE)&amp;")","")</f>
        <v>한초윤(3)</v>
      </c>
      <c r="R17" s="246" t="str">
        <f>IFERROR(VLOOKUP(R16,'자율관 배정 R1'!$B:$F,3,FALSE)&amp;"("&amp;VLOOKUP(R16,'자율관 배정 R1'!$B:$E,2,FALSE)&amp;")","")</f>
        <v>김나현(3)</v>
      </c>
      <c r="S17" s="246" t="str">
        <f>IFERROR(VLOOKUP(S16,'자율관 배정 R1'!$B:$F,3,FALSE)&amp;"("&amp;VLOOKUP(S16,'자율관 배정 R1'!$B:$E,2,FALSE)&amp;")","")</f>
        <v>장연주(3)</v>
      </c>
      <c r="T17" s="246" t="str">
        <f>IFERROR(VLOOKUP(T16,'자율관 배정 R1'!$B:$F,3,FALSE)&amp;"("&amp;VLOOKUP(T16,'자율관 배정 R1'!$B:$E,2,FALSE)&amp;")","")</f>
        <v>이재영(10)</v>
      </c>
      <c r="U17" s="246" t="str">
        <f>IFERROR(VLOOKUP(U16,'자율관 배정 R1'!$B:$F,3,FALSE)&amp;"("&amp;VLOOKUP(U16,'자율관 배정 R1'!$B:$E,2,FALSE)&amp;")","")</f>
        <v>조하늬(9)</v>
      </c>
      <c r="V17" s="442"/>
      <c r="W17" s="326"/>
      <c r="X17" s="246" t="str">
        <f>IFERROR(VLOOKUP(X16,'자율관 배정 R1'!$B:$F,3,FALSE)&amp;"("&amp;VLOOKUP(X16,'자율관 배정 R1'!$B:$E,2,FALSE)&amp;")","")</f>
        <v>강지윤(4)</v>
      </c>
      <c r="Y17" s="246" t="str">
        <f>IFERROR(VLOOKUP(Y16,'자율관 배정 R1'!$B:$F,3,FALSE)&amp;"("&amp;VLOOKUP(Y16,'자율관 배정 R1'!$B:$E,2,FALSE)&amp;")","")</f>
        <v>강서현(11)</v>
      </c>
      <c r="Z17" s="410" t="str">
        <f>IFERROR(VLOOKUP(Z16,'자율관 배정 R1'!$B:$F,3,FALSE)&amp;"("&amp;VLOOKUP(Z16,'자율관 배정 R1'!$B:$E,2,FALSE)&amp;")","")</f>
        <v>()</v>
      </c>
      <c r="AA17" s="277"/>
      <c r="AB17" s="246" t="str">
        <f>IFERROR(VLOOKUP(AB16,'자율관 배정 R1'!$B:$F,3,FALSE)&amp;"("&amp;VLOOKUP(AB16,'자율관 배정 R1'!$B:$E,2,FALSE)&amp;")","")</f>
        <v>연예은(3)</v>
      </c>
      <c r="AC17" s="246" t="str">
        <f>IFERROR(VLOOKUP(AC16,'자율관 배정 R1'!$B:$F,3,FALSE)&amp;"("&amp;VLOOKUP(AC16,'자율관 배정 R1'!$B:$E,2,FALSE)&amp;")","")</f>
        <v>이서현(3)</v>
      </c>
      <c r="AD17" s="246" t="str">
        <f>IFERROR(VLOOKUP(AD16,'자율관 배정 R1'!$B:$F,3,FALSE)&amp;"("&amp;VLOOKUP(AD16,'자율관 배정 R1'!$B:$E,2,FALSE)&amp;")","")</f>
        <v>김서영(3)</v>
      </c>
      <c r="AE17" s="246" t="str">
        <f>IFERROR(VLOOKUP(AE16,'자율관 배정 R1'!$B:$F,3,FALSE)&amp;"("&amp;VLOOKUP(AE16,'자율관 배정 R1'!$B:$E,2,FALSE)&amp;")","")</f>
        <v>조하은(2)</v>
      </c>
      <c r="AF17" s="246" t="str">
        <f>IFERROR(VLOOKUP(AF16,'자율관 배정 R1'!$B:$F,3,FALSE)&amp;"("&amp;VLOOKUP(AF16,'자율관 배정 R1'!$B:$E,2,FALSE)&amp;")","")</f>
        <v>석지원(2)</v>
      </c>
      <c r="AG17" s="281"/>
      <c r="AH17" s="281"/>
      <c r="AI17" s="281"/>
      <c r="AJ17" s="261"/>
      <c r="AK17" s="281"/>
      <c r="AL17" s="281"/>
      <c r="AM17" s="281"/>
      <c r="AN17" s="261"/>
      <c r="AO17" s="281"/>
      <c r="AP17" s="281"/>
      <c r="AQ17" s="281"/>
      <c r="AR17" s="281"/>
      <c r="AS17" s="261"/>
      <c r="AT17" s="281"/>
      <c r="AU17" s="281"/>
      <c r="AV17" s="281"/>
      <c r="AW17" s="261"/>
      <c r="AX17" s="281"/>
      <c r="AY17" s="281"/>
      <c r="AZ17" s="281"/>
      <c r="BA17" s="281"/>
      <c r="BB17" s="261"/>
      <c r="BC17" s="281"/>
      <c r="BD17" s="281"/>
      <c r="BE17" s="281"/>
      <c r="BF17" s="261"/>
      <c r="BG17" s="281"/>
      <c r="BH17" s="281"/>
      <c r="BI17" s="281"/>
      <c r="BJ17" s="281"/>
      <c r="BK17" s="261"/>
      <c r="BL17" s="281"/>
      <c r="BM17" s="281"/>
      <c r="BN17" s="281"/>
      <c r="BO17" s="261"/>
      <c r="BP17" s="281"/>
      <c r="BQ17" s="281"/>
      <c r="BR17" s="281"/>
      <c r="BS17" s="281"/>
      <c r="BT17" s="261"/>
      <c r="BU17" s="281"/>
      <c r="BV17" s="281"/>
      <c r="BW17" s="281"/>
      <c r="BX17" s="261"/>
      <c r="BY17" s="281"/>
      <c r="BZ17" s="281"/>
      <c r="CA17" s="281"/>
      <c r="CB17" s="281"/>
      <c r="CC17" s="261"/>
      <c r="CD17" s="281"/>
      <c r="CE17" s="281"/>
      <c r="CF17" s="281"/>
      <c r="CG17" s="261"/>
      <c r="CH17" s="281"/>
      <c r="CI17" s="281"/>
      <c r="CJ17" s="281"/>
      <c r="CK17" s="281"/>
      <c r="CL17" s="261"/>
      <c r="CM17" s="281"/>
      <c r="CN17" s="281"/>
      <c r="CO17" s="281"/>
      <c r="CP17" s="261"/>
      <c r="CQ17" s="281"/>
      <c r="CR17" s="281"/>
      <c r="CS17" s="281"/>
      <c r="CT17" s="281"/>
      <c r="CU17" s="261"/>
      <c r="CV17" s="281"/>
      <c r="CW17" s="281"/>
      <c r="CX17" s="281"/>
      <c r="CY17" s="261"/>
      <c r="CZ17" s="281"/>
      <c r="DA17" s="281"/>
      <c r="DB17" s="281"/>
      <c r="DC17" s="281"/>
      <c r="DD17" s="261"/>
      <c r="DE17" s="281"/>
      <c r="DF17" s="281"/>
      <c r="DG17" s="281"/>
      <c r="DH17" s="261"/>
      <c r="DI17" s="281"/>
      <c r="DJ17" s="281"/>
      <c r="DK17" s="281"/>
      <c r="DL17" s="281"/>
      <c r="DM17" s="261"/>
      <c r="DN17" s="281"/>
      <c r="DO17" s="281"/>
      <c r="DP17" s="281"/>
      <c r="DQ17" s="261"/>
      <c r="DR17" s="281"/>
      <c r="DS17" s="281"/>
      <c r="DT17" s="281"/>
      <c r="DU17" s="281"/>
      <c r="DV17" s="261"/>
      <c r="DW17" s="281"/>
      <c r="DX17" s="281"/>
      <c r="DY17" s="281"/>
      <c r="DZ17" s="261"/>
      <c r="EA17" s="281"/>
      <c r="EB17" s="281"/>
      <c r="EC17" s="281"/>
      <c r="ED17" s="281"/>
      <c r="EE17" s="261"/>
      <c r="EF17" s="281"/>
      <c r="EG17" s="281"/>
      <c r="EH17" s="281"/>
      <c r="EI17" s="261"/>
      <c r="EJ17" s="281"/>
      <c r="EK17" s="281"/>
      <c r="EL17" s="204"/>
      <c r="EM17" s="204"/>
      <c r="EN17" s="204"/>
      <c r="EO17" s="204"/>
      <c r="EP17" s="204"/>
      <c r="EQ17" s="204"/>
      <c r="ER17" s="204"/>
      <c r="ES17" s="204"/>
      <c r="ET17" s="204"/>
      <c r="EU17" s="204"/>
      <c r="EV17" s="204"/>
      <c r="EW17" s="204"/>
      <c r="EX17" s="204"/>
      <c r="EY17" s="204"/>
      <c r="EZ17" s="204"/>
      <c r="FA17" s="204"/>
      <c r="FB17" s="204"/>
      <c r="FC17" s="204"/>
      <c r="FD17" s="204"/>
      <c r="FE17" s="204"/>
      <c r="FF17" s="204"/>
      <c r="FG17" s="204"/>
      <c r="FH17" s="204"/>
      <c r="FI17" s="204"/>
      <c r="FJ17" s="204"/>
      <c r="FK17" s="204"/>
      <c r="FL17" s="204"/>
      <c r="FM17" s="204"/>
      <c r="FN17" s="204"/>
      <c r="FO17" s="204"/>
      <c r="FP17" s="204"/>
      <c r="FQ17" s="204"/>
      <c r="FR17" s="204"/>
      <c r="FS17" s="204"/>
      <c r="FT17" s="204"/>
      <c r="FU17" s="204"/>
      <c r="FV17" s="204"/>
      <c r="FW17" s="204"/>
      <c r="FX17" s="204"/>
      <c r="FY17" s="204"/>
      <c r="FZ17" s="204"/>
      <c r="GA17" s="204"/>
      <c r="GB17" s="204"/>
      <c r="GC17" s="204"/>
      <c r="GD17" s="204"/>
      <c r="GE17" s="204"/>
      <c r="GF17" s="204"/>
      <c r="GG17" s="204"/>
      <c r="GH17" s="204"/>
      <c r="GI17" s="204"/>
      <c r="GJ17" s="204"/>
      <c r="GK17" s="204"/>
      <c r="GL17" s="204"/>
      <c r="GM17" s="204"/>
      <c r="GN17" s="204"/>
      <c r="GO17" s="204"/>
      <c r="GP17" s="204"/>
      <c r="GQ17" s="204"/>
      <c r="GR17" s="204"/>
      <c r="GS17" s="204"/>
      <c r="GT17" s="204"/>
      <c r="GU17" s="204"/>
      <c r="GV17" s="204"/>
      <c r="GW17" s="204"/>
    </row>
    <row r="18" spans="1:205" s="319" customFormat="1" ht="19.5" customHeight="1" thickBot="1" x14ac:dyDescent="0.35">
      <c r="A18" s="317" t="str">
        <f>IFERROR(VLOOKUP(A16,'자율관 배정 R1'!$B:$F,5,FALSE)&amp;"","")</f>
        <v>EP면학X</v>
      </c>
      <c r="B18" s="317" t="str">
        <f>IFERROR(VLOOKUP(B16,'자율관 배정 R1'!$B:$F,5,FALSE)&amp;"","")</f>
        <v>EP면학X</v>
      </c>
      <c r="C18" s="317" t="str">
        <f>IFERROR(VLOOKUP(C16,'자율관 배정 R1'!$B:$F,5,FALSE)&amp;"","")</f>
        <v>EP면학X</v>
      </c>
      <c r="D18" s="317" t="str">
        <f>IFERROR(VLOOKUP(D16,'자율관 배정 R1'!$B:$F,5,FALSE)&amp;"","")</f>
        <v/>
      </c>
      <c r="E18" s="317" t="str">
        <f>IFERROR(VLOOKUP(E16,'자율관 배정 R1'!$B:$F,5,FALSE)&amp;"","")</f>
        <v>월화수목</v>
      </c>
      <c r="F18" s="318" t="str">
        <f>IFERROR(VLOOKUP(F16,'자율관 배정 R1'!$B:$F,5,FALSE)&amp;"","")</f>
        <v>EP면학X</v>
      </c>
      <c r="G18" s="421"/>
      <c r="H18" s="311"/>
      <c r="I18" s="317" t="str">
        <f>IFERROR(VLOOKUP(I16,'자율관 배정 R1'!$B:$F,5,FALSE)&amp;"","")</f>
        <v>기숙사</v>
      </c>
      <c r="J18" s="317" t="str">
        <f>IFERROR(VLOOKUP(J16,'자율관 배정 R1'!$B:$F,5,FALSE)&amp;"","")</f>
        <v>EP면학X</v>
      </c>
      <c r="K18" s="317" t="str">
        <f>IFERROR(VLOOKUP(K16,'자율관 배정 R1'!$B:$F,5,FALSE)&amp;"","")</f>
        <v>기숙사</v>
      </c>
      <c r="L18" s="317" t="str">
        <f>IFERROR(VLOOKUP(L16,'자율관 배정 R1'!$B:$F,5,FALSE)&amp;"","")</f>
        <v>EP면학X</v>
      </c>
      <c r="M18" s="317" t="str">
        <f>IFERROR(VLOOKUP(M16,'자율관 배정 R1'!$B:$F,5,FALSE)&amp;"","")</f>
        <v>기숙사</v>
      </c>
      <c r="N18" s="330"/>
      <c r="O18" s="317" t="str">
        <f>IFERROR(VLOOKUP(O16,'자율관 배정 R1'!$B:$F,5,FALSE)&amp;"","")</f>
        <v>EP면학X</v>
      </c>
      <c r="P18" s="317" t="str">
        <f>IFERROR(VLOOKUP(P16,'자율관 배정 R1'!$B:$F,5,FALSE)&amp;"","")</f>
        <v>기숙사</v>
      </c>
      <c r="Q18" s="317" t="str">
        <f>IFERROR(VLOOKUP(Q16,'자율관 배정 R1'!$B:$F,5,FALSE)&amp;"","")</f>
        <v>EP면학X</v>
      </c>
      <c r="R18" s="317" t="str">
        <f>IFERROR(VLOOKUP(R16,'자율관 배정 R1'!$B:$F,5,FALSE)&amp;"","")</f>
        <v>월화수목</v>
      </c>
      <c r="S18" s="317" t="str">
        <f>IFERROR(VLOOKUP(S16,'자율관 배정 R1'!$B:$F,5,FALSE)&amp;"","")</f>
        <v>EP면학X</v>
      </c>
      <c r="T18" s="317" t="str">
        <f>IFERROR(VLOOKUP(T16,'자율관 배정 R1'!$B:$F,5,FALSE)&amp;"","")</f>
        <v>EP면학X</v>
      </c>
      <c r="U18" s="317" t="str">
        <f>IFERROR(VLOOKUP(U16,'자율관 배정 R1'!$B:$F,5,FALSE)&amp;"","")</f>
        <v>월목</v>
      </c>
      <c r="V18" s="428"/>
      <c r="W18" s="326"/>
      <c r="X18" s="317" t="str">
        <f>IFERROR(VLOOKUP(X16,'자율관 배정 R1'!$B:$F,5,FALSE)&amp;"","")</f>
        <v>월화수목</v>
      </c>
      <c r="Y18" s="317" t="str">
        <f>IFERROR(VLOOKUP(Y16,'자율관 배정 R1'!$B:$F,5,FALSE)&amp;"","")</f>
        <v>월화수목금</v>
      </c>
      <c r="Z18" s="318" t="str">
        <f>IFERROR(VLOOKUP(Z16,'자율관 배정 R1'!$B:$F,5,FALSE)&amp;"","")</f>
        <v/>
      </c>
      <c r="AA18" s="297"/>
      <c r="AB18" s="317" t="str">
        <f>IFERROR(VLOOKUP(AB16,'자율관 배정 R1'!$B:$F,5,FALSE)&amp;"","")</f>
        <v>월화수목금</v>
      </c>
      <c r="AC18" s="317" t="str">
        <f>IFERROR(VLOOKUP(AC16,'자율관 배정 R1'!$B:$F,5,FALSE)&amp;"","")</f>
        <v>기숙사</v>
      </c>
      <c r="AD18" s="317" t="str">
        <f>IFERROR(VLOOKUP(AD16,'자율관 배정 R1'!$B:$F,5,FALSE)&amp;"","")</f>
        <v>EP면학X</v>
      </c>
      <c r="AE18" s="317" t="str">
        <f>IFERROR(VLOOKUP(AE16,'자율관 배정 R1'!$B:$F,5,FALSE)&amp;"","")</f>
        <v>기숙사</v>
      </c>
      <c r="AF18" s="443" t="str">
        <f>IFERROR(VLOOKUP(AF16,'자율관 배정 R1'!$B:$F,5,FALSE)&amp;"","")</f>
        <v>EP면학X</v>
      </c>
      <c r="AG18" s="315"/>
      <c r="AH18" s="315"/>
      <c r="AI18" s="315"/>
      <c r="AJ18" s="315"/>
      <c r="AK18" s="315"/>
      <c r="AL18" s="315"/>
      <c r="AM18" s="315"/>
      <c r="AN18" s="315"/>
      <c r="AO18" s="315"/>
      <c r="AP18" s="315"/>
      <c r="AQ18" s="315"/>
      <c r="AR18" s="315"/>
      <c r="AS18" s="315"/>
      <c r="AT18" s="315"/>
      <c r="AU18" s="315"/>
      <c r="AV18" s="315"/>
      <c r="AW18" s="315"/>
      <c r="AX18" s="315"/>
      <c r="AY18" s="315"/>
      <c r="AZ18" s="315"/>
      <c r="BA18" s="315"/>
      <c r="BB18" s="315"/>
      <c r="BC18" s="315"/>
      <c r="BD18" s="315"/>
      <c r="BE18" s="315"/>
      <c r="BF18" s="315"/>
      <c r="BG18" s="315"/>
      <c r="BH18" s="315"/>
      <c r="BI18" s="315"/>
      <c r="BJ18" s="315"/>
      <c r="BK18" s="315"/>
      <c r="BL18" s="315"/>
      <c r="BM18" s="315"/>
      <c r="BN18" s="315"/>
      <c r="BO18" s="315"/>
      <c r="BP18" s="315"/>
      <c r="BQ18" s="315"/>
      <c r="BR18" s="315"/>
      <c r="BS18" s="315"/>
      <c r="BT18" s="315"/>
      <c r="BU18" s="315"/>
      <c r="BV18" s="315"/>
      <c r="BW18" s="315"/>
      <c r="BX18" s="315"/>
      <c r="BY18" s="315"/>
      <c r="BZ18" s="315"/>
      <c r="CA18" s="315"/>
      <c r="CB18" s="315"/>
      <c r="CC18" s="315"/>
      <c r="CD18" s="315"/>
      <c r="CE18" s="315"/>
      <c r="CF18" s="315"/>
      <c r="CG18" s="315"/>
      <c r="CH18" s="315"/>
      <c r="CI18" s="315"/>
      <c r="CJ18" s="315"/>
      <c r="CK18" s="315"/>
      <c r="CL18" s="315"/>
      <c r="CM18" s="315"/>
      <c r="CN18" s="315"/>
      <c r="CO18" s="315"/>
      <c r="CP18" s="315"/>
      <c r="CQ18" s="315"/>
      <c r="CR18" s="315"/>
      <c r="CS18" s="315"/>
      <c r="CT18" s="315"/>
      <c r="CU18" s="315"/>
      <c r="CV18" s="315"/>
      <c r="CW18" s="315"/>
      <c r="CX18" s="315"/>
      <c r="CY18" s="315"/>
      <c r="CZ18" s="315"/>
      <c r="DA18" s="315"/>
      <c r="DB18" s="315"/>
      <c r="DC18" s="315"/>
      <c r="DD18" s="315"/>
      <c r="DE18" s="315"/>
      <c r="DF18" s="315"/>
      <c r="DG18" s="315"/>
      <c r="DH18" s="315"/>
      <c r="DI18" s="315"/>
      <c r="DJ18" s="315"/>
      <c r="DK18" s="315"/>
      <c r="DL18" s="315"/>
      <c r="DM18" s="315"/>
      <c r="DN18" s="315"/>
      <c r="DO18" s="315"/>
      <c r="DP18" s="315"/>
      <c r="DQ18" s="315"/>
      <c r="DR18" s="315"/>
      <c r="DS18" s="315"/>
      <c r="DT18" s="315"/>
      <c r="DU18" s="315"/>
      <c r="DV18" s="315"/>
      <c r="DW18" s="315"/>
      <c r="DX18" s="315"/>
      <c r="DY18" s="315"/>
      <c r="DZ18" s="315"/>
      <c r="EA18" s="315"/>
      <c r="EB18" s="315"/>
      <c r="EC18" s="315"/>
      <c r="ED18" s="315"/>
      <c r="EE18" s="315"/>
      <c r="EF18" s="315"/>
      <c r="EG18" s="315"/>
      <c r="EH18" s="315"/>
      <c r="EI18" s="315"/>
      <c r="EJ18" s="315"/>
      <c r="EK18" s="315"/>
      <c r="EL18" s="315"/>
      <c r="EM18" s="315"/>
      <c r="EN18" s="315"/>
      <c r="EO18" s="315"/>
      <c r="EP18" s="315"/>
      <c r="EQ18" s="315"/>
      <c r="ER18" s="315"/>
      <c r="ES18" s="315"/>
      <c r="ET18" s="315"/>
      <c r="EU18" s="315"/>
      <c r="EV18" s="315"/>
      <c r="EW18" s="315"/>
      <c r="EX18" s="315"/>
      <c r="EY18" s="315"/>
      <c r="EZ18" s="315"/>
      <c r="FA18" s="315"/>
      <c r="FB18" s="315"/>
      <c r="FC18" s="315"/>
      <c r="FD18" s="315"/>
      <c r="FE18" s="315"/>
      <c r="FF18" s="315"/>
      <c r="FG18" s="315"/>
      <c r="FH18" s="315"/>
      <c r="FI18" s="315"/>
      <c r="FJ18" s="315"/>
      <c r="FK18" s="315"/>
      <c r="FL18" s="315"/>
      <c r="FM18" s="315"/>
      <c r="FN18" s="315"/>
      <c r="FO18" s="315"/>
      <c r="FP18" s="315"/>
      <c r="FQ18" s="315"/>
      <c r="FR18" s="315"/>
      <c r="FS18" s="315"/>
      <c r="FT18" s="315"/>
      <c r="FU18" s="315"/>
      <c r="FV18" s="315"/>
      <c r="FW18" s="315"/>
      <c r="FX18" s="315"/>
      <c r="FY18" s="315"/>
      <c r="FZ18" s="315"/>
      <c r="GA18" s="315"/>
      <c r="GB18" s="315"/>
      <c r="GC18" s="315"/>
      <c r="GD18" s="315"/>
      <c r="GE18" s="315"/>
      <c r="GF18" s="315"/>
      <c r="GG18" s="315"/>
      <c r="GH18" s="315"/>
      <c r="GI18" s="315"/>
      <c r="GJ18" s="315"/>
      <c r="GK18" s="315"/>
      <c r="GL18" s="315"/>
      <c r="GM18" s="315"/>
      <c r="GN18" s="315"/>
      <c r="GO18" s="315"/>
      <c r="GP18" s="315"/>
      <c r="GQ18" s="315"/>
      <c r="GR18" s="315"/>
      <c r="GS18" s="315"/>
      <c r="GT18" s="315"/>
      <c r="GU18" s="315"/>
      <c r="GV18" s="315"/>
      <c r="GW18" s="315"/>
    </row>
    <row r="19" spans="1:205" ht="19.5" customHeight="1" thickBot="1" x14ac:dyDescent="0.35">
      <c r="A19" s="283"/>
      <c r="B19" s="37"/>
      <c r="C19" s="37"/>
      <c r="D19" s="351"/>
      <c r="E19" s="351"/>
      <c r="F19" s="37"/>
      <c r="G19" s="37"/>
      <c r="H19" s="311"/>
      <c r="I19" s="332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28"/>
      <c r="W19" s="314"/>
      <c r="X19" s="277"/>
      <c r="Y19" s="277"/>
      <c r="Z19" s="277"/>
      <c r="AA19" s="277"/>
      <c r="AB19" s="277"/>
      <c r="AC19" s="277"/>
      <c r="AD19" s="277"/>
      <c r="AE19" s="277"/>
      <c r="AF19" s="297"/>
      <c r="AJ19" s="261"/>
      <c r="AN19" s="261"/>
      <c r="AS19" s="261"/>
      <c r="AW19" s="261"/>
      <c r="BB19" s="261"/>
      <c r="BF19" s="261"/>
      <c r="BK19" s="261"/>
      <c r="BO19" s="261"/>
      <c r="BT19" s="261"/>
      <c r="BX19" s="261"/>
      <c r="CC19" s="261"/>
      <c r="CG19" s="261"/>
      <c r="CL19" s="261"/>
      <c r="CP19" s="261"/>
      <c r="CU19" s="261"/>
      <c r="CY19" s="261"/>
      <c r="DD19" s="261"/>
      <c r="DH19" s="261"/>
      <c r="DM19" s="261"/>
      <c r="DQ19" s="261"/>
      <c r="DV19" s="261"/>
      <c r="DZ19" s="261"/>
      <c r="EE19" s="261"/>
      <c r="EI19" s="261"/>
    </row>
    <row r="20" spans="1:205" ht="19.5" customHeight="1" x14ac:dyDescent="0.3">
      <c r="A20" s="278" t="s">
        <v>1492</v>
      </c>
      <c r="B20" s="278" t="s">
        <v>333</v>
      </c>
      <c r="C20" s="278" t="s">
        <v>1493</v>
      </c>
      <c r="D20" s="347"/>
      <c r="E20" s="278" t="s">
        <v>332</v>
      </c>
      <c r="F20" s="278" t="s">
        <v>1494</v>
      </c>
      <c r="G20" s="419"/>
      <c r="H20" s="311"/>
      <c r="I20" s="333"/>
      <c r="J20" s="278" t="s">
        <v>331</v>
      </c>
      <c r="K20" s="278" t="s">
        <v>1495</v>
      </c>
      <c r="L20" s="278" t="s">
        <v>330</v>
      </c>
      <c r="M20" s="278" t="s">
        <v>329</v>
      </c>
      <c r="N20" s="327"/>
      <c r="O20" s="327"/>
      <c r="P20" s="327"/>
      <c r="Q20" s="327"/>
      <c r="R20" s="327"/>
      <c r="S20" s="284"/>
      <c r="T20" s="278" t="s">
        <v>1496</v>
      </c>
      <c r="U20" s="278" t="s">
        <v>1497</v>
      </c>
      <c r="V20" s="278" t="s">
        <v>1498</v>
      </c>
      <c r="W20" s="314"/>
      <c r="X20" s="327"/>
      <c r="Y20" s="327"/>
      <c r="Z20" s="327"/>
      <c r="AA20" s="327"/>
      <c r="AB20" s="327"/>
      <c r="AC20" s="327"/>
      <c r="AD20" s="327"/>
      <c r="AE20" s="280" t="s">
        <v>495</v>
      </c>
      <c r="AF20" s="280" t="s">
        <v>496</v>
      </c>
      <c r="AJ20" s="261"/>
      <c r="AN20" s="261"/>
      <c r="AS20" s="261"/>
      <c r="AW20" s="261"/>
      <c r="BB20" s="261"/>
      <c r="BF20" s="261"/>
      <c r="BK20" s="261"/>
      <c r="BO20" s="261"/>
      <c r="BT20" s="261"/>
      <c r="BX20" s="261"/>
      <c r="CC20" s="261"/>
      <c r="CG20" s="261"/>
      <c r="CL20" s="261"/>
      <c r="CP20" s="261"/>
      <c r="CU20" s="261"/>
      <c r="CY20" s="261"/>
      <c r="DD20" s="261"/>
      <c r="DH20" s="261"/>
      <c r="DM20" s="261"/>
      <c r="DQ20" s="261"/>
      <c r="DV20" s="261"/>
      <c r="DZ20" s="261"/>
      <c r="EE20" s="261"/>
      <c r="EI20" s="261"/>
    </row>
    <row r="21" spans="1:205" s="248" customFormat="1" ht="20.100000000000001" customHeight="1" x14ac:dyDescent="0.3">
      <c r="A21" s="246" t="str">
        <f>IFERROR(VLOOKUP(A20,'자율관 배정 R1'!$B:$F,3,FALSE)&amp;"("&amp;VLOOKUP(A20,'자율관 배정 R1'!$B:$E,2,FALSE)&amp;")","")</f>
        <v>변가은(4)</v>
      </c>
      <c r="B21" s="246" t="str">
        <f>IFERROR(VLOOKUP(B20,'자율관 배정 R1'!$B:$F,3,FALSE)&amp;"("&amp;VLOOKUP(B20,'자율관 배정 R1'!$B:$E,2,FALSE)&amp;")","")</f>
        <v>강서영(5)</v>
      </c>
      <c r="C21" s="246" t="str">
        <f>IFERROR(VLOOKUP(C20,'자율관 배정 R1'!$B:$F,3,FALSE)&amp;"("&amp;VLOOKUP(C20,'자율관 배정 R1'!$B:$E,2,FALSE)&amp;")","")</f>
        <v>김예은(4)</v>
      </c>
      <c r="D21" s="350"/>
      <c r="E21" s="246" t="str">
        <f>IFERROR(VLOOKUP(E20,'자율관 배정 R1'!$B:$F,3,FALSE)&amp;"("&amp;VLOOKUP(E20,'자율관 배정 R1'!$B:$E,2,FALSE)&amp;")","")</f>
        <v>강민주(5)</v>
      </c>
      <c r="F21" s="246" t="str">
        <f>IFERROR(VLOOKUP(F20,'자율관 배정 R1'!$B:$F,3,FALSE)&amp;"("&amp;VLOOKUP(F20,'자율관 배정 R1'!$B:$E,2,FALSE)&amp;")","")</f>
        <v>홍유진(3)</v>
      </c>
      <c r="G21" s="322"/>
      <c r="H21" s="311"/>
      <c r="I21" s="333"/>
      <c r="J21" s="246" t="str">
        <f>IFERROR(VLOOKUP(J20,'자율관 배정 R1'!$B:$F,3,FALSE)&amp;"("&amp;VLOOKUP(J20,'자율관 배정 R1'!$B:$E,2,FALSE)&amp;")","")</f>
        <v>최경은(4)</v>
      </c>
      <c r="K21" s="246" t="str">
        <f>IFERROR(VLOOKUP(K20,'자율관 배정 R1'!$B:$F,3,FALSE)&amp;"("&amp;VLOOKUP(K20,'자율관 배정 R1'!$B:$E,2,FALSE)&amp;")","")</f>
        <v>조지윤(3)</v>
      </c>
      <c r="L21" s="246" t="str">
        <f>IFERROR(VLOOKUP(L20,'자율관 배정 R1'!$B:$F,3,FALSE)&amp;"("&amp;VLOOKUP(L20,'자율관 배정 R1'!$B:$E,2,FALSE)&amp;")","")</f>
        <v>전가은(4)</v>
      </c>
      <c r="M21" s="246" t="str">
        <f>IFERROR(VLOOKUP(M20,'자율관 배정 R1'!$B:$F,3,FALSE)&amp;"("&amp;VLOOKUP(M20,'자율관 배정 R1'!$B:$E,2,FALSE)&amp;")","")</f>
        <v>정혜인(3)</v>
      </c>
      <c r="N21" s="322" t="str">
        <f>IFERROR(VLOOKUP(N20,'자율관 배정 R1'!$B:$F,3,FALSE)&amp;"("&amp;VLOOKUP(N13,'자율관 배정 R1'!$B:$E,2,FALSE)&amp;")","")</f>
        <v/>
      </c>
      <c r="O21" s="322" t="str">
        <f>IFERROR(VLOOKUP(O20,'자율관 배정 R1'!$B:$F,3,FALSE)&amp;"("&amp;VLOOKUP(O13,'자율관 배정 R1'!$B:$E,2,FALSE)&amp;")","")</f>
        <v/>
      </c>
      <c r="P21" s="322" t="str">
        <f>IFERROR(VLOOKUP(P20,'자율관 배정 R1'!$B:$F,3,FALSE)&amp;"("&amp;VLOOKUP(P13,'자율관 배정 R1'!$B:$E,2,FALSE)&amp;")","")</f>
        <v/>
      </c>
      <c r="Q21" s="322" t="str">
        <f>IFERROR(VLOOKUP(Q20,'자율관 배정 R1'!$B:$F,3,FALSE)&amp;"("&amp;VLOOKUP(Q13,'자율관 배정 R1'!$B:$E,2,FALSE)&amp;")","")</f>
        <v/>
      </c>
      <c r="R21" s="322" t="str">
        <f>IFERROR(VLOOKUP(R20,'자율관 배정 R1'!$B:$F,3,FALSE)&amp;"("&amp;VLOOKUP(R13,'자율관 배정 R1'!$B:$E,2,FALSE)&amp;")","")</f>
        <v/>
      </c>
      <c r="S21" s="322" t="str">
        <f>IFERROR(VLOOKUP(S20,'자율관 배정 R1'!$B:$F,3,FALSE)&amp;"("&amp;VLOOKUP(S13,'자율관 배정 R1'!$B:$E,2,FALSE)&amp;")","")</f>
        <v/>
      </c>
      <c r="T21" s="246" t="str">
        <f>IFERROR(VLOOKUP(T20,'자율관 배정 R1'!$B:$F,3,FALSE)&amp;"("&amp;VLOOKUP(T20,'자율관 배정 R1'!$B:$E,2,FALSE)&amp;")","")</f>
        <v>최하진(9)</v>
      </c>
      <c r="U21" s="256" t="str">
        <f>IFERROR(VLOOKUP(U20,'자율관 배정 R1'!$B:$F,3,FALSE)&amp;"("&amp;VLOOKUP(U20,'자율관 배정 R1'!$B:$E,2,FALSE)&amp;")","")</f>
        <v>정지영(9)</v>
      </c>
      <c r="V21" s="246" t="str">
        <f>IFERROR(VLOOKUP(V20,'자율관 배정 R1'!$B:$F,3,FALSE)&amp;"("&amp;VLOOKUP(V20,'자율관 배정 R1'!$B:$E,2,FALSE)&amp;")","")</f>
        <v>임예슬(9)</v>
      </c>
      <c r="W21" s="314"/>
      <c r="X21" s="322" t="str">
        <f>IFERROR(VLOOKUP(X20,'자율관 배정 R1'!$B:$F,3,FALSE)&amp;"("&amp;VLOOKUP(X13,'자율관 배정 R1'!$B:$E,2,FALSE)&amp;")","")</f>
        <v/>
      </c>
      <c r="Y21" s="322" t="str">
        <f>IFERROR(VLOOKUP(Y20,'자율관 배정 R1'!$B:$F,3,FALSE)&amp;"("&amp;VLOOKUP(Y13,'자율관 배정 R1'!$B:$E,2,FALSE)&amp;")","")</f>
        <v/>
      </c>
      <c r="Z21" s="322" t="str">
        <f>IFERROR(VLOOKUP(Z20,'자율관 배정 R1'!$B:$F,3,FALSE)&amp;"("&amp;VLOOKUP(Z13,'자율관 배정 R1'!$B:$E,2,FALSE)&amp;")","")</f>
        <v/>
      </c>
      <c r="AA21" s="322" t="str">
        <f>IFERROR(VLOOKUP(AA20,'자율관 배정 R1'!$B:$F,3,FALSE)&amp;"("&amp;VLOOKUP(AA13,'자율관 배정 R1'!$B:$E,2,FALSE)&amp;")","")</f>
        <v/>
      </c>
      <c r="AB21" s="322" t="str">
        <f>IFERROR(VLOOKUP(AB20,'자율관 배정 R1'!$B:$F,3,FALSE)&amp;"("&amp;VLOOKUP(AB13,'자율관 배정 R1'!$B:$E,2,FALSE)&amp;")","")</f>
        <v/>
      </c>
      <c r="AC21" s="322" t="str">
        <f>IFERROR(VLOOKUP(AC20,'자율관 배정 R1'!$B:$F,3,FALSE)&amp;"("&amp;VLOOKUP(AC13,'자율관 배정 R1'!$B:$E,2,FALSE)&amp;")","")</f>
        <v/>
      </c>
      <c r="AD21" s="322" t="str">
        <f>IFERROR(VLOOKUP(AD20,'자율관 배정 R1'!$B:$F,3,FALSE)&amp;"("&amp;VLOOKUP(AD13,'자율관 배정 R1'!$B:$E,2,FALSE)&amp;")","")</f>
        <v/>
      </c>
      <c r="AE21" s="246" t="str">
        <f>IFERROR(VLOOKUP(AE20,'자율관 배정 R1'!$B:$F,3,FALSE)&amp;"("&amp;VLOOKUP(AE20,'자율관 배정 R1'!$B:$E,2,FALSE)&amp;")","")</f>
        <v>오수아(2)</v>
      </c>
      <c r="AF21" s="246" t="str">
        <f>IFERROR(VLOOKUP(AF20,'자율관 배정 R1'!$B:$F,3,FALSE)&amp;"("&amp;VLOOKUP(AF20,'자율관 배정 R1'!$B:$E,2,FALSE)&amp;")","")</f>
        <v>김건희(2)</v>
      </c>
      <c r="AG21" s="281"/>
      <c r="AH21" s="281"/>
      <c r="AI21" s="281"/>
      <c r="AJ21" s="261"/>
      <c r="AK21" s="281"/>
      <c r="AL21" s="281"/>
      <c r="AM21" s="281"/>
      <c r="AN21" s="261"/>
      <c r="AO21" s="281"/>
      <c r="AP21" s="281"/>
      <c r="AQ21" s="281"/>
      <c r="AR21" s="281"/>
      <c r="AS21" s="261"/>
      <c r="AT21" s="281"/>
      <c r="AU21" s="281"/>
      <c r="AV21" s="281"/>
      <c r="AW21" s="261"/>
      <c r="AX21" s="281"/>
      <c r="AY21" s="281"/>
      <c r="AZ21" s="281"/>
      <c r="BA21" s="281"/>
      <c r="BB21" s="261"/>
      <c r="BC21" s="281"/>
      <c r="BD21" s="281"/>
      <c r="BE21" s="281"/>
      <c r="BF21" s="261"/>
      <c r="BG21" s="281"/>
      <c r="BH21" s="281"/>
      <c r="BI21" s="281"/>
      <c r="BJ21" s="281"/>
      <c r="BK21" s="261"/>
      <c r="BL21" s="281"/>
      <c r="BM21" s="281"/>
      <c r="BN21" s="281"/>
      <c r="BO21" s="261"/>
      <c r="BP21" s="281"/>
      <c r="BQ21" s="281"/>
      <c r="BR21" s="281"/>
      <c r="BS21" s="281"/>
      <c r="BT21" s="261"/>
      <c r="BU21" s="281"/>
      <c r="BV21" s="281"/>
      <c r="BW21" s="281"/>
      <c r="BX21" s="261"/>
      <c r="BY21" s="281"/>
      <c r="BZ21" s="281"/>
      <c r="CA21" s="281"/>
      <c r="CB21" s="281"/>
      <c r="CC21" s="261"/>
      <c r="CD21" s="281"/>
      <c r="CE21" s="281"/>
      <c r="CF21" s="281"/>
      <c r="CG21" s="261"/>
      <c r="CH21" s="281"/>
      <c r="CI21" s="281"/>
      <c r="CJ21" s="281"/>
      <c r="CK21" s="281"/>
      <c r="CL21" s="261"/>
      <c r="CM21" s="281"/>
      <c r="CN21" s="281"/>
      <c r="CO21" s="281"/>
      <c r="CP21" s="261"/>
      <c r="CQ21" s="281"/>
      <c r="CR21" s="281"/>
      <c r="CS21" s="281"/>
      <c r="CT21" s="281"/>
      <c r="CU21" s="261"/>
      <c r="CV21" s="281"/>
      <c r="CW21" s="281"/>
      <c r="CX21" s="281"/>
      <c r="CY21" s="261"/>
      <c r="CZ21" s="281"/>
      <c r="DA21" s="281"/>
      <c r="DB21" s="281"/>
      <c r="DC21" s="281"/>
      <c r="DD21" s="261"/>
      <c r="DE21" s="281"/>
      <c r="DF21" s="281"/>
      <c r="DG21" s="281"/>
      <c r="DH21" s="261"/>
      <c r="DI21" s="281"/>
      <c r="DJ21" s="281"/>
      <c r="DK21" s="281"/>
      <c r="DL21" s="281"/>
      <c r="DM21" s="261"/>
      <c r="DN21" s="281"/>
      <c r="DO21" s="281"/>
      <c r="DP21" s="281"/>
      <c r="DQ21" s="261"/>
      <c r="DR21" s="281"/>
      <c r="DS21" s="281"/>
      <c r="DT21" s="281"/>
      <c r="DU21" s="281"/>
      <c r="DV21" s="261"/>
      <c r="DW21" s="281"/>
      <c r="DX21" s="281"/>
      <c r="DY21" s="281"/>
      <c r="DZ21" s="261"/>
      <c r="EA21" s="281"/>
      <c r="EB21" s="281"/>
      <c r="EC21" s="281"/>
      <c r="ED21" s="281"/>
      <c r="EE21" s="261"/>
      <c r="EF21" s="281"/>
      <c r="EG21" s="281"/>
      <c r="EH21" s="281"/>
      <c r="EI21" s="261"/>
      <c r="EJ21" s="281"/>
      <c r="EK21" s="281"/>
      <c r="EL21" s="281"/>
      <c r="EM21" s="281"/>
      <c r="EN21" s="281"/>
      <c r="EO21" s="281"/>
      <c r="EP21" s="281"/>
      <c r="EQ21" s="281"/>
      <c r="ER21" s="281"/>
      <c r="ES21" s="281"/>
      <c r="ET21" s="281"/>
      <c r="EU21" s="281"/>
      <c r="EV21" s="281"/>
      <c r="EW21" s="281"/>
      <c r="EX21" s="281"/>
      <c r="EY21" s="281"/>
      <c r="EZ21" s="281"/>
      <c r="FA21" s="281"/>
      <c r="FB21" s="281"/>
      <c r="FC21" s="281"/>
      <c r="FD21" s="281"/>
      <c r="FE21" s="281"/>
      <c r="FF21" s="281"/>
      <c r="FG21" s="281"/>
      <c r="FH21" s="281"/>
      <c r="FI21" s="281"/>
      <c r="FJ21" s="281"/>
      <c r="FK21" s="281"/>
      <c r="FL21" s="281"/>
      <c r="FM21" s="281"/>
      <c r="FN21" s="281"/>
      <c r="FO21" s="281"/>
      <c r="FP21" s="281"/>
      <c r="FQ21" s="281"/>
      <c r="FR21" s="281"/>
      <c r="FS21" s="281"/>
      <c r="FT21" s="281"/>
      <c r="FU21" s="281"/>
      <c r="FV21" s="281"/>
      <c r="FW21" s="281"/>
      <c r="FX21" s="281"/>
      <c r="FY21" s="281"/>
      <c r="FZ21" s="281"/>
      <c r="GA21" s="281"/>
      <c r="GB21" s="281"/>
      <c r="GC21" s="281"/>
      <c r="GD21" s="281"/>
      <c r="GE21" s="281"/>
      <c r="GF21" s="281"/>
      <c r="GG21" s="281"/>
      <c r="GH21" s="281"/>
      <c r="GI21" s="281"/>
      <c r="GJ21" s="281"/>
      <c r="GK21" s="281"/>
      <c r="GL21" s="281"/>
      <c r="GM21" s="281"/>
      <c r="GN21" s="281"/>
      <c r="GO21" s="281"/>
      <c r="GP21" s="281"/>
      <c r="GQ21" s="281"/>
      <c r="GR21" s="281"/>
      <c r="GS21" s="281"/>
      <c r="GT21" s="281"/>
      <c r="GU21" s="281"/>
      <c r="GV21" s="281"/>
      <c r="GW21" s="281"/>
    </row>
    <row r="22" spans="1:205" s="262" customFormat="1" ht="20.100000000000001" customHeight="1" thickBot="1" x14ac:dyDescent="0.35">
      <c r="A22" s="285" t="str">
        <f>IFERROR(VLOOKUP(A20,'자율관 배정 R1'!$B:$F,5,FALSE)&amp;"","")</f>
        <v>EP면학X</v>
      </c>
      <c r="B22" s="285" t="str">
        <f>IFERROR(VLOOKUP(B20,'자율관 배정 R1'!$B:$F,5,FALSE)&amp;"","")</f>
        <v>EP면학X</v>
      </c>
      <c r="C22" s="285" t="str">
        <f>IFERROR(VLOOKUP(C20,'자율관 배정 R1'!$B:$F,5,FALSE)&amp;"","")</f>
        <v>EP면학X</v>
      </c>
      <c r="D22" s="285" t="str">
        <f>IFERROR(VLOOKUP(D20,'자율관 배정 R1'!$B:$F,5,FALSE)&amp;"","")</f>
        <v/>
      </c>
      <c r="E22" s="285" t="str">
        <f>IFERROR(VLOOKUP(E20,'자율관 배정 R1'!$B:$F,5,FALSE)&amp;"","")</f>
        <v>EP면학X</v>
      </c>
      <c r="F22" s="285" t="str">
        <f>IFERROR(VLOOKUP(F20,'자율관 배정 R1'!$B:$F,5,FALSE)&amp;"","")</f>
        <v>기숙사</v>
      </c>
      <c r="G22" s="426"/>
      <c r="H22" s="311"/>
      <c r="I22" s="333"/>
      <c r="J22" s="285" t="str">
        <f>IFERROR(VLOOKUP(J20,'자율관 배정 R1'!$B:$F,5,FALSE)&amp;"","")</f>
        <v>EP면학X</v>
      </c>
      <c r="K22" s="285" t="str">
        <f>IFERROR(VLOOKUP(K20,'자율관 배정 R1'!$B:$F,5,FALSE)&amp;"","")</f>
        <v>월화수목</v>
      </c>
      <c r="L22" s="285" t="str">
        <f>IFERROR(VLOOKUP(L20,'자율관 배정 R1'!$B:$F,5,FALSE)&amp;"","")</f>
        <v>EP면학X</v>
      </c>
      <c r="M22" s="285" t="str">
        <f>IFERROR(VLOOKUP(M20,'자율관 배정 R1'!$B:$F,5,FALSE)&amp;"","")</f>
        <v>기숙사</v>
      </c>
      <c r="N22" s="340"/>
      <c r="O22" s="327"/>
      <c r="P22" s="327"/>
      <c r="Q22" s="327"/>
      <c r="R22" s="37"/>
      <c r="S22" s="323" t="str">
        <f>IFERROR(VLOOKUP(S20,'자율관 배정 R1'!$B:$F,7,FALSE)&amp;"","")</f>
        <v/>
      </c>
      <c r="T22" s="285" t="str">
        <f>IFERROR(VLOOKUP(T20,'자율관 배정 R1'!$B:$F,5,FALSE)&amp;"","")</f>
        <v>기숙사</v>
      </c>
      <c r="U22" s="285" t="str">
        <f>IFERROR(VLOOKUP(U20,'자율관 배정 R1'!$B:$F,5,FALSE)&amp;"","")</f>
        <v>월화수목</v>
      </c>
      <c r="V22" s="429" t="str">
        <f>IFERROR(VLOOKUP(V20,'자율관 배정 R1'!$B:$F,5,FALSE)&amp;"","")</f>
        <v>기숙사</v>
      </c>
      <c r="W22" s="314"/>
      <c r="X22" s="327"/>
      <c r="Y22" s="327"/>
      <c r="Z22" s="327"/>
      <c r="AA22" s="327"/>
      <c r="AB22" s="327"/>
      <c r="AC22" s="327"/>
      <c r="AD22" s="327"/>
      <c r="AE22" s="285" t="str">
        <f>IFERROR(VLOOKUP(AE20,'자율관 배정 R1'!$B:$F,5,FALSE)&amp;"","")</f>
        <v>기숙사</v>
      </c>
      <c r="AF22" s="444" t="str">
        <f>IFERROR(VLOOKUP(AF20,'자율관 배정 R1'!$B:$F,5,FALSE)&amp;"","")</f>
        <v>월화수목</v>
      </c>
      <c r="AG22" s="260"/>
      <c r="AH22" s="260"/>
      <c r="AI22" s="260"/>
      <c r="AJ22" s="261"/>
      <c r="AK22" s="260"/>
      <c r="AL22" s="260"/>
      <c r="AM22" s="260"/>
      <c r="AN22" s="261"/>
      <c r="AO22" s="260"/>
      <c r="AP22" s="260"/>
      <c r="AQ22" s="260"/>
      <c r="AR22" s="260"/>
      <c r="AS22" s="261"/>
      <c r="AT22" s="260"/>
      <c r="AU22" s="260"/>
      <c r="AV22" s="260"/>
      <c r="AW22" s="261"/>
      <c r="AX22" s="260"/>
      <c r="AY22" s="260"/>
      <c r="AZ22" s="260"/>
      <c r="BA22" s="260"/>
      <c r="BB22" s="261"/>
      <c r="BC22" s="260"/>
      <c r="BD22" s="260"/>
      <c r="BE22" s="260"/>
      <c r="BF22" s="261"/>
      <c r="BG22" s="260"/>
      <c r="BH22" s="260"/>
      <c r="BI22" s="260"/>
      <c r="BJ22" s="260"/>
      <c r="BK22" s="261"/>
      <c r="BL22" s="260"/>
      <c r="BM22" s="260"/>
      <c r="BN22" s="260"/>
      <c r="BO22" s="261"/>
      <c r="BP22" s="260"/>
      <c r="BQ22" s="260"/>
      <c r="BR22" s="260"/>
      <c r="BS22" s="260"/>
      <c r="BT22" s="261"/>
      <c r="BU22" s="260"/>
      <c r="BV22" s="260"/>
      <c r="BW22" s="260"/>
      <c r="BX22" s="261"/>
      <c r="BY22" s="260"/>
      <c r="BZ22" s="260"/>
      <c r="CA22" s="260"/>
      <c r="CB22" s="260"/>
      <c r="CC22" s="261"/>
      <c r="CD22" s="260"/>
      <c r="CE22" s="260"/>
      <c r="CF22" s="260"/>
      <c r="CG22" s="261"/>
      <c r="CH22" s="260"/>
      <c r="CI22" s="260"/>
      <c r="CJ22" s="260"/>
      <c r="CK22" s="260"/>
      <c r="CL22" s="261"/>
      <c r="CM22" s="260"/>
      <c r="CN22" s="260"/>
      <c r="CO22" s="260"/>
      <c r="CP22" s="261"/>
      <c r="CQ22" s="260"/>
      <c r="CR22" s="260"/>
      <c r="CS22" s="260"/>
      <c r="CT22" s="260"/>
      <c r="CU22" s="261"/>
      <c r="CV22" s="260"/>
      <c r="CW22" s="260"/>
      <c r="CX22" s="260"/>
      <c r="CY22" s="261"/>
      <c r="CZ22" s="260"/>
      <c r="DA22" s="260"/>
      <c r="DB22" s="260"/>
      <c r="DC22" s="260"/>
      <c r="DD22" s="261"/>
      <c r="DE22" s="260"/>
      <c r="DF22" s="260"/>
      <c r="DG22" s="260"/>
      <c r="DH22" s="261"/>
      <c r="DI22" s="260"/>
      <c r="DJ22" s="260"/>
      <c r="DK22" s="260"/>
      <c r="DL22" s="260"/>
      <c r="DM22" s="261"/>
      <c r="DN22" s="260"/>
      <c r="DO22" s="260"/>
      <c r="DP22" s="260"/>
      <c r="DQ22" s="261"/>
      <c r="DR22" s="260"/>
      <c r="DS22" s="260"/>
      <c r="DT22" s="260"/>
      <c r="DU22" s="260"/>
      <c r="DV22" s="261"/>
      <c r="DW22" s="260"/>
      <c r="DX22" s="260"/>
      <c r="DY22" s="260"/>
      <c r="DZ22" s="261"/>
      <c r="EA22" s="260"/>
      <c r="EB22" s="260"/>
      <c r="EC22" s="260"/>
      <c r="ED22" s="260"/>
      <c r="EE22" s="261"/>
      <c r="EF22" s="260"/>
      <c r="EG22" s="260"/>
      <c r="EH22" s="260"/>
      <c r="EI22" s="261"/>
      <c r="EJ22" s="260"/>
      <c r="EK22" s="260"/>
      <c r="EL22" s="260"/>
      <c r="EM22" s="260"/>
      <c r="EN22" s="260"/>
      <c r="EO22" s="260"/>
      <c r="EP22" s="260"/>
      <c r="EQ22" s="260"/>
      <c r="ER22" s="260"/>
      <c r="ES22" s="260"/>
      <c r="ET22" s="260"/>
      <c r="EU22" s="260"/>
      <c r="EV22" s="260"/>
      <c r="EW22" s="260"/>
      <c r="EX22" s="260"/>
      <c r="EY22" s="260"/>
      <c r="EZ22" s="260"/>
      <c r="FA22" s="260"/>
      <c r="FB22" s="260"/>
      <c r="FC22" s="260"/>
      <c r="FD22" s="260"/>
      <c r="FE22" s="260"/>
      <c r="FF22" s="260"/>
      <c r="FG22" s="260"/>
      <c r="FH22" s="260"/>
      <c r="FI22" s="260"/>
      <c r="FJ22" s="260"/>
      <c r="FK22" s="260"/>
      <c r="FL22" s="260"/>
      <c r="FM22" s="260"/>
      <c r="FN22" s="260"/>
      <c r="FO22" s="260"/>
      <c r="FP22" s="260"/>
      <c r="FQ22" s="260"/>
      <c r="FR22" s="260"/>
      <c r="FS22" s="260"/>
      <c r="FT22" s="260"/>
      <c r="FU22" s="260"/>
      <c r="FV22" s="260"/>
      <c r="FW22" s="260"/>
      <c r="FX22" s="260"/>
      <c r="FY22" s="260"/>
      <c r="FZ22" s="260"/>
      <c r="GA22" s="260"/>
      <c r="GB22" s="260"/>
      <c r="GC22" s="260"/>
      <c r="GD22" s="260"/>
      <c r="GE22" s="260"/>
      <c r="GF22" s="260"/>
      <c r="GG22" s="260"/>
      <c r="GH22" s="260"/>
      <c r="GI22" s="260"/>
      <c r="GJ22" s="260"/>
      <c r="GK22" s="260"/>
      <c r="GL22" s="260"/>
      <c r="GM22" s="260"/>
      <c r="GN22" s="260"/>
      <c r="GO22" s="260"/>
      <c r="GP22" s="260"/>
      <c r="GQ22" s="260"/>
      <c r="GR22" s="260"/>
      <c r="GS22" s="260"/>
      <c r="GT22" s="260"/>
      <c r="GU22" s="260"/>
      <c r="GV22" s="260"/>
      <c r="GW22" s="260"/>
    </row>
    <row r="23" spans="1:205" ht="20.100000000000001" customHeight="1" thickBot="1" x14ac:dyDescent="0.35">
      <c r="A23" s="340"/>
      <c r="B23" s="286"/>
      <c r="C23" s="286"/>
      <c r="D23" s="276"/>
      <c r="E23" s="276"/>
      <c r="F23" s="518"/>
      <c r="G23" s="518"/>
      <c r="H23" s="518"/>
      <c r="I23" s="518"/>
      <c r="J23" s="518"/>
      <c r="K23" s="286"/>
      <c r="L23" s="286"/>
      <c r="M23" s="286"/>
      <c r="N23" s="286"/>
      <c r="O23" s="286"/>
      <c r="P23" s="287"/>
      <c r="Q23" s="521" t="s">
        <v>0</v>
      </c>
      <c r="R23" s="522"/>
      <c r="S23" s="287"/>
      <c r="T23" s="287"/>
      <c r="U23" s="287"/>
      <c r="V23" s="328"/>
      <c r="W23" s="314"/>
      <c r="X23" s="327"/>
      <c r="Y23" s="327"/>
      <c r="Z23" s="327"/>
      <c r="AA23" s="327"/>
      <c r="AB23" s="519" t="s">
        <v>0</v>
      </c>
      <c r="AC23" s="520"/>
      <c r="AD23" s="288"/>
      <c r="AE23" s="288"/>
      <c r="AF23" s="445"/>
      <c r="AJ23" s="261"/>
      <c r="AN23" s="261"/>
      <c r="AS23" s="261"/>
      <c r="AW23" s="261"/>
      <c r="BB23" s="261"/>
      <c r="BF23" s="261"/>
      <c r="BK23" s="261"/>
      <c r="BO23" s="261"/>
      <c r="BT23" s="261"/>
      <c r="BX23" s="261"/>
      <c r="CC23" s="261"/>
      <c r="CG23" s="261"/>
      <c r="CL23" s="261"/>
      <c r="CP23" s="261"/>
      <c r="CU23" s="261"/>
      <c r="CY23" s="261"/>
      <c r="DD23" s="261"/>
      <c r="DH23" s="261"/>
      <c r="DM23" s="261"/>
      <c r="DQ23" s="261"/>
      <c r="DV23" s="261"/>
      <c r="DZ23" s="261"/>
      <c r="EE23" s="261"/>
      <c r="EI23" s="261"/>
    </row>
    <row r="24" spans="1:205" ht="19.5" customHeight="1" thickBot="1" x14ac:dyDescent="0.35">
      <c r="A24" s="289" t="s">
        <v>1450</v>
      </c>
      <c r="B24" s="249" t="str">
        <f>IFERROR(VLOOKUP(A24,'자율관 배정 R1'!$B:$F,3,FALSE)&amp;"("&amp;VLOOKUP(A24,'자율관 배정 R1'!$B:$E,2,FALSE)&amp;")","")</f>
        <v>최시원(9)</v>
      </c>
      <c r="C24" s="334" t="str">
        <f>IFERROR(VLOOKUP(A24,'자율관 배정 R1'!$B:$F,5,FALSE)&amp;"","")</f>
        <v>EP면학X</v>
      </c>
      <c r="D24" s="370" t="str">
        <f>IFERROR(VLOOKUP(A24,'자율관 배정 R1'!$B:$G,8,FALSE)&amp;"","")</f>
        <v/>
      </c>
      <c r="E24" s="352"/>
      <c r="F24" s="290" t="s">
        <v>1449</v>
      </c>
      <c r="G24" s="290" t="s">
        <v>1448</v>
      </c>
      <c r="H24" s="290" t="s">
        <v>1447</v>
      </c>
      <c r="I24" s="331"/>
      <c r="J24" s="290" t="s">
        <v>1446</v>
      </c>
      <c r="K24" s="290" t="s">
        <v>1445</v>
      </c>
      <c r="L24" s="290" t="s">
        <v>1444</v>
      </c>
      <c r="M24" s="290" t="s">
        <v>1443</v>
      </c>
      <c r="N24" s="289" t="s">
        <v>1442</v>
      </c>
      <c r="O24" s="290" t="s">
        <v>258</v>
      </c>
      <c r="P24" s="291"/>
      <c r="Q24" s="534" t="s">
        <v>0</v>
      </c>
      <c r="R24" s="535"/>
      <c r="S24" s="291"/>
      <c r="T24" s="291"/>
      <c r="U24" s="292"/>
      <c r="V24" s="293"/>
      <c r="W24" s="293"/>
      <c r="X24" s="293"/>
      <c r="Y24" s="293"/>
      <c r="Z24" s="293"/>
      <c r="AA24" s="335"/>
      <c r="AB24" s="519" t="s">
        <v>0</v>
      </c>
      <c r="AC24" s="520"/>
      <c r="AD24" s="335"/>
      <c r="AE24" s="293"/>
      <c r="AF24" s="446"/>
    </row>
    <row r="25" spans="1:205" s="203" customFormat="1" ht="20.100000000000001" customHeight="1" thickBot="1" x14ac:dyDescent="0.35">
      <c r="A25" s="205" t="s">
        <v>1408</v>
      </c>
      <c r="B25" s="249" t="str">
        <f>IFERROR(VLOOKUP(A25,'자율관 배정 R1'!$B:$F,3,FALSE)&amp;"("&amp;VLOOKUP(A25,'자율관 배정 R1'!$B:$E,2,FALSE)&amp;")","")</f>
        <v>이은성(11)</v>
      </c>
      <c r="C25" s="334" t="str">
        <f>IFERROR(VLOOKUP(A25,'자율관 배정 R1'!$B:$F,5,FALSE)&amp;"","")</f>
        <v>기숙사</v>
      </c>
      <c r="D25" s="327" t="str">
        <f>IFERROR(VLOOKUP(A25,'자율관 배정 R1'!$B:$G,8,FALSE)&amp;"","")</f>
        <v/>
      </c>
      <c r="E25" s="327"/>
      <c r="F25" s="250" t="str">
        <f>IFERROR(VLOOKUP(F24,'자율관 배정 R1'!$B:$F,3,FALSE)&amp;"("&amp;VLOOKUP(F24,'자율관 배정 R1'!$B:$E,2,FALSE)&amp;")","")</f>
        <v>강상원(11)</v>
      </c>
      <c r="G25" s="250" t="str">
        <f>IFERROR(VLOOKUP(G24,'자율관 배정 R1'!$B:$F,3,FALSE)&amp;"("&amp;VLOOKUP(G24,'자율관 배정 R1'!$B:$E,2,FALSE)&amp;")","")</f>
        <v>()</v>
      </c>
      <c r="H25" s="250" t="str">
        <f>IFERROR(VLOOKUP(H24,'자율관 배정 R1'!$B:$F,3,FALSE)&amp;"("&amp;VLOOKUP(H24,'자율관 배정 R1'!$B:$E,2,FALSE)&amp;")","")</f>
        <v>황찬휘(10)</v>
      </c>
      <c r="I25" s="331"/>
      <c r="J25" s="250" t="str">
        <f>IFERROR(VLOOKUP(J24,'자율관 배정 R1'!$B:$F,3,FALSE)&amp;"("&amp;VLOOKUP(J24,'자율관 배정 R1'!$B:$E,2,FALSE)&amp;")","")</f>
        <v>이준서(9)</v>
      </c>
      <c r="K25" s="250" t="str">
        <f>IFERROR(VLOOKUP(K24,'자율관 배정 R1'!$B:$F,3,FALSE)&amp;"("&amp;VLOOKUP(K24,'자율관 배정 R1'!$B:$E,2,FALSE)&amp;")","")</f>
        <v>이세준(10)</v>
      </c>
      <c r="L25" s="250" t="str">
        <f>IFERROR(VLOOKUP(L24,'자율관 배정 R1'!$B:$F,3,FALSE)&amp;"("&amp;VLOOKUP(L24,'자율관 배정 R1'!$B:$E,2,FALSE)&amp;")","")</f>
        <v>()</v>
      </c>
      <c r="M25" s="250" t="str">
        <f>IFERROR(VLOOKUP(M24,'자율관 배정 R1'!$B:$F,3,FALSE)&amp;"("&amp;VLOOKUP(M24,'자율관 배정 R1'!$B:$E,2,FALSE)&amp;")","")</f>
        <v>전수현(9)</v>
      </c>
      <c r="N25" s="355" t="str">
        <f>IFERROR(VLOOKUP(N24,'자율관 배정 R1'!$B:$F,3,FALSE)&amp;"("&amp;VLOOKUP(N24,'자율관 배정 R1'!$B:$E,2,FALSE)&amp;")","")</f>
        <v>()</v>
      </c>
      <c r="O25" s="250" t="str">
        <f>IFERROR(VLOOKUP(O24,'자율관 배정 R1'!$B:$F,3,FALSE)&amp;"("&amp;VLOOKUP(O24,'자율관 배정 R1'!$B:$E,2,FALSE)&amp;")","")</f>
        <v>박승호(9)</v>
      </c>
      <c r="P25" s="206"/>
      <c r="Q25" s="207"/>
      <c r="R25" s="207"/>
      <c r="S25" s="207"/>
      <c r="T25" s="206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447"/>
      <c r="AG25" s="202"/>
      <c r="AH25" s="260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2"/>
      <c r="CW25" s="202"/>
      <c r="CX25" s="202"/>
      <c r="CY25" s="202"/>
      <c r="CZ25" s="202"/>
      <c r="DA25" s="202"/>
      <c r="DB25" s="202"/>
      <c r="DC25" s="202"/>
      <c r="DD25" s="202"/>
      <c r="DE25" s="202"/>
      <c r="DF25" s="202"/>
      <c r="DG25" s="202"/>
      <c r="DH25" s="202"/>
      <c r="DI25" s="202"/>
      <c r="DJ25" s="202"/>
      <c r="DK25" s="202"/>
      <c r="DL25" s="202"/>
      <c r="DM25" s="202"/>
      <c r="DN25" s="202"/>
      <c r="DO25" s="202"/>
      <c r="DP25" s="202"/>
      <c r="DQ25" s="202"/>
      <c r="DR25" s="202"/>
      <c r="DS25" s="202"/>
      <c r="DT25" s="202"/>
      <c r="DU25" s="202"/>
      <c r="DV25" s="202"/>
      <c r="DW25" s="202"/>
      <c r="DX25" s="202"/>
      <c r="DY25" s="202"/>
      <c r="DZ25" s="202"/>
      <c r="EA25" s="202"/>
      <c r="EB25" s="202"/>
      <c r="EC25" s="202"/>
      <c r="ED25" s="202"/>
      <c r="EE25" s="202"/>
      <c r="EF25" s="202"/>
      <c r="EG25" s="202"/>
      <c r="EH25" s="202"/>
      <c r="EI25" s="202"/>
      <c r="EJ25" s="202"/>
      <c r="EK25" s="202"/>
      <c r="EL25" s="202"/>
      <c r="EM25" s="202"/>
      <c r="EN25" s="202"/>
      <c r="EO25" s="202"/>
      <c r="EP25" s="202"/>
      <c r="EQ25" s="202"/>
      <c r="ER25" s="202"/>
      <c r="ES25" s="202"/>
      <c r="ET25" s="202"/>
      <c r="EU25" s="202"/>
      <c r="EV25" s="202"/>
      <c r="EW25" s="202"/>
      <c r="EX25" s="202"/>
      <c r="EY25" s="202"/>
      <c r="EZ25" s="202"/>
      <c r="FA25" s="202"/>
      <c r="FB25" s="202"/>
      <c r="FC25" s="202"/>
      <c r="FD25" s="202"/>
      <c r="FE25" s="202"/>
      <c r="FF25" s="202"/>
      <c r="FG25" s="202"/>
      <c r="FH25" s="202"/>
      <c r="FI25" s="202"/>
      <c r="FJ25" s="202"/>
      <c r="FK25" s="202"/>
      <c r="FL25" s="202"/>
      <c r="FM25" s="202"/>
      <c r="FN25" s="202"/>
      <c r="FO25" s="202"/>
      <c r="FP25" s="202"/>
      <c r="FQ25" s="202"/>
      <c r="FR25" s="202"/>
      <c r="FS25" s="202"/>
      <c r="FT25" s="202"/>
      <c r="FU25" s="202"/>
      <c r="FV25" s="202"/>
      <c r="FW25" s="202"/>
      <c r="FX25" s="202"/>
      <c r="FY25" s="202"/>
      <c r="FZ25" s="202"/>
      <c r="GA25" s="202"/>
      <c r="GB25" s="202"/>
      <c r="GC25" s="202"/>
      <c r="GD25" s="202"/>
      <c r="GE25" s="202"/>
      <c r="GF25" s="202"/>
      <c r="GG25" s="202"/>
      <c r="GH25" s="202"/>
      <c r="GI25" s="202"/>
      <c r="GJ25" s="202"/>
      <c r="GK25" s="202"/>
      <c r="GL25" s="202"/>
      <c r="GM25" s="202"/>
      <c r="GN25" s="202"/>
      <c r="GO25" s="202"/>
      <c r="GP25" s="202"/>
      <c r="GQ25" s="202"/>
      <c r="GR25" s="202"/>
      <c r="GS25" s="202"/>
      <c r="GT25" s="202"/>
      <c r="GU25" s="202"/>
      <c r="GV25" s="202"/>
      <c r="GW25" s="202"/>
    </row>
    <row r="26" spans="1:205" s="252" customFormat="1" ht="20.100000000000001" customHeight="1" thickBot="1" x14ac:dyDescent="0.35">
      <c r="A26" s="294" t="s">
        <v>1409</v>
      </c>
      <c r="B26" s="249" t="str">
        <f>IFERROR(VLOOKUP(A26,'자율관 배정 R1'!$B:$F,3,FALSE)&amp;"("&amp;VLOOKUP(A26,'자율관 배정 R1'!$B:$E,2,FALSE)&amp;")","")</f>
        <v>금성(10)</v>
      </c>
      <c r="C26" s="334" t="str">
        <f>IFERROR(VLOOKUP(A26,'자율관 배정 R1'!$B:$F,5,FALSE)&amp;"","")</f>
        <v>EP면학X</v>
      </c>
      <c r="D26" s="327" t="str">
        <f>IFERROR(VLOOKUP(A26,'자율관 배정 R1'!$B:$G,8,FALSE)&amp;"","")</f>
        <v/>
      </c>
      <c r="E26" s="327"/>
      <c r="F26" s="357" t="str">
        <f>IFERROR(VLOOKUP(F24,'자율관 배정 R1'!$B:$F,5,FALSE)&amp;"","")</f>
        <v>기숙사</v>
      </c>
      <c r="G26" s="357" t="str">
        <f>IFERROR(VLOOKUP(G24,'자율관 배정 R1'!$B:$F,5,FALSE)&amp;"","")</f>
        <v/>
      </c>
      <c r="H26" s="357" t="str">
        <f>IFERROR(VLOOKUP(H24,'자율관 배정 R1'!$B:$F,5,FALSE)&amp;"","")</f>
        <v>EP면학X</v>
      </c>
      <c r="I26" s="330"/>
      <c r="J26" s="357" t="str">
        <f>IFERROR(VLOOKUP(J24,'자율관 배정 R1'!$B:$F,5,FALSE)&amp;"","")</f>
        <v>EP면학X</v>
      </c>
      <c r="K26" s="357" t="str">
        <f>IFERROR(VLOOKUP(K24,'자율관 배정 R1'!$B:$F,5,FALSE)&amp;"","")</f>
        <v>기숙사</v>
      </c>
      <c r="L26" s="357" t="str">
        <f>IFERROR(VLOOKUP(L24,'자율관 배정 R1'!$B:$F,5,FALSE)&amp;"","")</f>
        <v/>
      </c>
      <c r="M26" s="357" t="str">
        <f>IFERROR(VLOOKUP(M24,'자율관 배정 R1'!$B:$F,5,FALSE)&amp;"","")</f>
        <v>월화수목</v>
      </c>
      <c r="N26" s="357" t="str">
        <f>IFERROR(VLOOKUP(N24,'자율관 배정 R1'!$B:$F,5,FALSE)&amp;"","")</f>
        <v/>
      </c>
      <c r="O26" s="360" t="str">
        <f>IFERROR(VLOOKUP(O24,'자율관 배정 R1'!$B:$F,5,FALSE)&amp;"","")</f>
        <v>기숙사</v>
      </c>
      <c r="P26" s="206"/>
      <c r="Q26" s="448"/>
      <c r="R26" s="449"/>
      <c r="S26" s="449"/>
      <c r="T26" s="207"/>
      <c r="U26" s="359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447"/>
      <c r="AG26" s="202"/>
      <c r="AH26" s="260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  <c r="CG26" s="202"/>
      <c r="CH26" s="202"/>
      <c r="CI26" s="202"/>
      <c r="CJ26" s="202"/>
      <c r="CK26" s="202"/>
      <c r="CL26" s="202"/>
      <c r="CM26" s="202"/>
      <c r="CN26" s="202"/>
      <c r="CO26" s="202"/>
      <c r="CP26" s="202"/>
      <c r="CQ26" s="202"/>
      <c r="CR26" s="202"/>
      <c r="CS26" s="202"/>
      <c r="CT26" s="202"/>
      <c r="CU26" s="202"/>
      <c r="CV26" s="202"/>
      <c r="CW26" s="202"/>
      <c r="CX26" s="202"/>
      <c r="CY26" s="202"/>
      <c r="CZ26" s="202"/>
      <c r="DA26" s="202"/>
      <c r="DB26" s="202"/>
      <c r="DC26" s="202"/>
      <c r="DD26" s="202"/>
      <c r="DE26" s="202"/>
      <c r="DF26" s="202"/>
      <c r="DG26" s="202"/>
      <c r="DH26" s="202"/>
      <c r="DI26" s="202"/>
      <c r="DJ26" s="202"/>
      <c r="DK26" s="202"/>
      <c r="DL26" s="202"/>
      <c r="DM26" s="202"/>
      <c r="DN26" s="202"/>
      <c r="DO26" s="202"/>
      <c r="DP26" s="202"/>
      <c r="DQ26" s="202"/>
      <c r="DR26" s="202"/>
      <c r="DS26" s="202"/>
      <c r="DT26" s="202"/>
      <c r="DU26" s="202"/>
      <c r="DV26" s="202"/>
      <c r="DW26" s="202"/>
      <c r="DX26" s="202"/>
      <c r="DY26" s="202"/>
      <c r="DZ26" s="202"/>
      <c r="EA26" s="202"/>
      <c r="EB26" s="202"/>
      <c r="EC26" s="202"/>
      <c r="ED26" s="202"/>
      <c r="EE26" s="202"/>
      <c r="EF26" s="202"/>
      <c r="EG26" s="202"/>
      <c r="EH26" s="202"/>
      <c r="EI26" s="202"/>
      <c r="EJ26" s="202"/>
      <c r="EK26" s="202"/>
      <c r="EL26" s="202"/>
      <c r="EM26" s="202"/>
      <c r="EN26" s="202"/>
      <c r="EO26" s="202"/>
      <c r="EP26" s="202"/>
      <c r="EQ26" s="202"/>
      <c r="ER26" s="202"/>
      <c r="ES26" s="202"/>
      <c r="ET26" s="202"/>
      <c r="EU26" s="202"/>
      <c r="EV26" s="202"/>
      <c r="EW26" s="202"/>
      <c r="EX26" s="202"/>
      <c r="EY26" s="202"/>
      <c r="EZ26" s="202"/>
      <c r="FA26" s="202"/>
      <c r="FB26" s="202"/>
      <c r="FC26" s="202"/>
      <c r="FD26" s="202"/>
      <c r="FE26" s="202"/>
      <c r="FF26" s="202"/>
      <c r="FG26" s="202"/>
      <c r="FH26" s="202"/>
      <c r="FI26" s="202"/>
      <c r="FJ26" s="202"/>
      <c r="FK26" s="202"/>
      <c r="FL26" s="202"/>
      <c r="FM26" s="202"/>
      <c r="FN26" s="202"/>
      <c r="FO26" s="202"/>
      <c r="FP26" s="202"/>
      <c r="FQ26" s="202"/>
      <c r="FR26" s="202"/>
      <c r="FS26" s="202"/>
      <c r="FT26" s="202"/>
      <c r="FU26" s="202"/>
      <c r="FV26" s="202"/>
      <c r="FW26" s="202"/>
      <c r="FX26" s="202"/>
      <c r="FY26" s="202"/>
      <c r="FZ26" s="202"/>
      <c r="GA26" s="202"/>
      <c r="GB26" s="202"/>
      <c r="GC26" s="202"/>
      <c r="GD26" s="202"/>
      <c r="GE26" s="202"/>
      <c r="GF26" s="202"/>
      <c r="GG26" s="202"/>
      <c r="GH26" s="202"/>
      <c r="GI26" s="202"/>
      <c r="GJ26" s="202"/>
      <c r="GK26" s="202"/>
      <c r="GL26" s="202"/>
      <c r="GM26" s="202"/>
      <c r="GN26" s="202"/>
      <c r="GO26" s="202"/>
      <c r="GP26" s="202"/>
      <c r="GQ26" s="202"/>
      <c r="GR26" s="202"/>
      <c r="GS26" s="202"/>
      <c r="GT26" s="202"/>
      <c r="GU26" s="202"/>
      <c r="GV26" s="202"/>
      <c r="GW26" s="202"/>
    </row>
    <row r="27" spans="1:205" s="203" customFormat="1" ht="20.100000000000001" customHeight="1" thickBot="1" x14ac:dyDescent="0.35">
      <c r="A27" s="289" t="s">
        <v>1410</v>
      </c>
      <c r="B27" s="249" t="str">
        <f>IFERROR(VLOOKUP(A27,'자율관 배정 R1'!$B:$F,3,FALSE)&amp;"("&amp;VLOOKUP(A27,'자율관 배정 R1'!$B:$E,2,FALSE)&amp;")","")</f>
        <v>장현진(11)</v>
      </c>
      <c r="C27" s="334" t="str">
        <f>IFERROR(VLOOKUP(A27,'자율관 배정 R1'!$B:$F,5,FALSE)&amp;"","")</f>
        <v>기숙사</v>
      </c>
      <c r="D27" s="327" t="str">
        <f>IFERROR(VLOOKUP(A27,'자율관 배정 R1'!$B:$G,8,FALSE)&amp;"","")</f>
        <v/>
      </c>
      <c r="E27" s="327"/>
      <c r="F27" s="346" t="s">
        <v>1407</v>
      </c>
      <c r="G27" s="353" t="s">
        <v>1406</v>
      </c>
      <c r="H27" s="353" t="s">
        <v>1405</v>
      </c>
      <c r="I27" s="327"/>
      <c r="J27" s="353" t="s">
        <v>1404</v>
      </c>
      <c r="K27" s="353" t="s">
        <v>1403</v>
      </c>
      <c r="L27" s="353" t="s">
        <v>1402</v>
      </c>
      <c r="M27" s="353" t="s">
        <v>1401</v>
      </c>
      <c r="N27" s="346" t="s">
        <v>1400</v>
      </c>
      <c r="O27" s="353" t="s">
        <v>1399</v>
      </c>
      <c r="P27" s="338"/>
      <c r="Q27" s="449"/>
      <c r="R27" s="450" t="s">
        <v>1375</v>
      </c>
      <c r="S27" s="450" t="s">
        <v>1376</v>
      </c>
      <c r="T27" s="207"/>
      <c r="U27" s="305" t="s">
        <v>14</v>
      </c>
      <c r="V27" s="305" t="s">
        <v>15</v>
      </c>
      <c r="W27" s="305" t="s">
        <v>16</v>
      </c>
      <c r="X27" s="305" t="s">
        <v>17</v>
      </c>
      <c r="Y27" s="305" t="s">
        <v>18</v>
      </c>
      <c r="Z27" s="305" t="s">
        <v>19</v>
      </c>
      <c r="AA27" s="327"/>
      <c r="AB27" s="305" t="s">
        <v>20</v>
      </c>
      <c r="AC27" s="305" t="s">
        <v>21</v>
      </c>
      <c r="AD27" s="305" t="s">
        <v>22</v>
      </c>
      <c r="AE27" s="305" t="s">
        <v>23</v>
      </c>
      <c r="AF27" s="305" t="s">
        <v>24</v>
      </c>
      <c r="AG27" s="202"/>
      <c r="AH27" s="260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  <c r="CL27" s="202"/>
      <c r="CM27" s="202"/>
      <c r="CN27" s="202"/>
      <c r="CO27" s="202"/>
      <c r="CP27" s="202"/>
      <c r="CQ27" s="202"/>
      <c r="CR27" s="202"/>
      <c r="CS27" s="202"/>
      <c r="CT27" s="202"/>
      <c r="CU27" s="202"/>
      <c r="CV27" s="202"/>
      <c r="CW27" s="202"/>
      <c r="CX27" s="202"/>
      <c r="CY27" s="202"/>
      <c r="CZ27" s="202"/>
      <c r="DA27" s="202"/>
      <c r="DB27" s="202"/>
      <c r="DC27" s="202"/>
      <c r="DD27" s="202"/>
      <c r="DE27" s="202"/>
      <c r="DF27" s="202"/>
      <c r="DG27" s="202"/>
      <c r="DH27" s="202"/>
      <c r="DI27" s="202"/>
      <c r="DJ27" s="202"/>
      <c r="DK27" s="202"/>
      <c r="DL27" s="202"/>
      <c r="DM27" s="202"/>
      <c r="DN27" s="202"/>
      <c r="DO27" s="202"/>
      <c r="DP27" s="202"/>
      <c r="DQ27" s="202"/>
      <c r="DR27" s="202"/>
      <c r="DS27" s="202"/>
      <c r="DT27" s="202"/>
      <c r="DU27" s="202"/>
      <c r="DV27" s="202"/>
      <c r="DW27" s="202"/>
      <c r="DX27" s="202"/>
      <c r="DY27" s="202"/>
      <c r="DZ27" s="202"/>
      <c r="EA27" s="202"/>
      <c r="EB27" s="202"/>
      <c r="EC27" s="202"/>
      <c r="ED27" s="202"/>
      <c r="EE27" s="202"/>
      <c r="EF27" s="202"/>
      <c r="EG27" s="202"/>
      <c r="EH27" s="202"/>
      <c r="EI27" s="202"/>
      <c r="EJ27" s="202"/>
      <c r="EK27" s="202"/>
      <c r="EL27" s="202"/>
      <c r="EM27" s="202"/>
      <c r="EN27" s="202"/>
      <c r="EO27" s="202"/>
      <c r="EP27" s="202"/>
      <c r="EQ27" s="202"/>
      <c r="ER27" s="202"/>
      <c r="ES27" s="202"/>
      <c r="ET27" s="202"/>
      <c r="EU27" s="202"/>
      <c r="EV27" s="202"/>
      <c r="EW27" s="202"/>
      <c r="EX27" s="202"/>
      <c r="EY27" s="202"/>
      <c r="EZ27" s="202"/>
      <c r="FA27" s="202"/>
      <c r="FB27" s="202"/>
      <c r="FC27" s="202"/>
      <c r="FD27" s="202"/>
      <c r="FE27" s="202"/>
      <c r="FF27" s="202"/>
      <c r="FG27" s="202"/>
      <c r="FH27" s="202"/>
      <c r="FI27" s="202"/>
      <c r="FJ27" s="202"/>
      <c r="FK27" s="202"/>
      <c r="FL27" s="202"/>
      <c r="FM27" s="202"/>
      <c r="FN27" s="202"/>
      <c r="FO27" s="202"/>
      <c r="FP27" s="202"/>
      <c r="FQ27" s="202"/>
      <c r="FR27" s="202"/>
      <c r="FS27" s="202"/>
      <c r="FT27" s="202"/>
      <c r="FU27" s="202"/>
      <c r="FV27" s="202"/>
      <c r="FW27" s="202"/>
      <c r="FX27" s="202"/>
      <c r="FY27" s="202"/>
      <c r="FZ27" s="202"/>
      <c r="GA27" s="202"/>
      <c r="GB27" s="202"/>
      <c r="GC27" s="202"/>
      <c r="GD27" s="202"/>
      <c r="GE27" s="202"/>
      <c r="GF27" s="202"/>
      <c r="GG27" s="202"/>
      <c r="GH27" s="202"/>
      <c r="GI27" s="202"/>
      <c r="GJ27" s="202"/>
      <c r="GK27" s="202"/>
      <c r="GL27" s="202"/>
      <c r="GM27" s="202"/>
      <c r="GN27" s="202"/>
      <c r="GO27" s="202"/>
      <c r="GP27" s="202"/>
      <c r="GQ27" s="202"/>
      <c r="GR27" s="202"/>
      <c r="GS27" s="202"/>
      <c r="GT27" s="202"/>
      <c r="GU27" s="202"/>
      <c r="GV27" s="202"/>
      <c r="GW27" s="202"/>
    </row>
    <row r="28" spans="1:205" ht="20.100000000000001" customHeight="1" thickBot="1" x14ac:dyDescent="0.35">
      <c r="A28" s="289" t="s">
        <v>1411</v>
      </c>
      <c r="B28" s="249" t="str">
        <f>IFERROR(VLOOKUP(A28,'자율관 배정 R1'!$B:$F,3,FALSE)&amp;"("&amp;VLOOKUP(A28,'자율관 배정 R1'!$B:$E,2,FALSE)&amp;")","")</f>
        <v>김준휘(10)</v>
      </c>
      <c r="C28" s="334" t="str">
        <f>IFERROR(VLOOKUP(A28,'자율관 배정 R1'!$B:$F,5,FALSE)&amp;"","")</f>
        <v>EP면학X</v>
      </c>
      <c r="D28" s="327" t="str">
        <f>IFERROR(VLOOKUP(A28,'자율관 배정 R1'!$B:$G,8,FALSE)&amp;"","")</f>
        <v/>
      </c>
      <c r="E28" s="327"/>
      <c r="F28" s="354" t="str">
        <f>IFERROR(VLOOKUP(F27,'자율관 배정 R1'!$B:$F,3,FALSE)&amp;"("&amp;VLOOKUP(F27,'자율관 배정 R1'!$B:$E,2,FALSE)&amp;")","")</f>
        <v>한병훈(8)</v>
      </c>
      <c r="G28" s="354" t="str">
        <f>IFERROR(VLOOKUP(G27,'자율관 배정 R1'!$B:$F,3,FALSE)&amp;"("&amp;VLOOKUP(G27,'자율관 배정 R1'!$B:$E,2,FALSE)&amp;")","")</f>
        <v>장성욱(8)</v>
      </c>
      <c r="H28" s="354" t="str">
        <f>IFERROR(VLOOKUP(H27,'자율관 배정 R1'!$B:$F,3,FALSE)&amp;"("&amp;VLOOKUP(H27,'자율관 배정 R1'!$B:$E,2,FALSE)&amp;")","")</f>
        <v>()</v>
      </c>
      <c r="I28" s="327"/>
      <c r="J28" s="354" t="str">
        <f>IFERROR(VLOOKUP(J27,'자율관 배정 R1'!$B:$F,3,FALSE)&amp;"("&amp;VLOOKUP(J27,'자율관 배정 R1'!$B:$E,2,FALSE)&amp;")","")</f>
        <v>이주형(8)</v>
      </c>
      <c r="K28" s="354" t="str">
        <f>IFERROR(VLOOKUP(K27,'자율관 배정 R1'!$B:$F,3,FALSE)&amp;"("&amp;VLOOKUP(K27,'자율관 배정 R1'!$B:$E,2,FALSE)&amp;")","")</f>
        <v>()</v>
      </c>
      <c r="L28" s="354" t="str">
        <f>IFERROR(VLOOKUP(L27,'자율관 배정 R1'!$B:$F,3,FALSE)&amp;"("&amp;VLOOKUP(L27,'자율관 배정 R1'!$B:$E,2,FALSE)&amp;")","")</f>
        <v>박동빈(8)</v>
      </c>
      <c r="M28" s="354" t="str">
        <f>IFERROR(VLOOKUP(M27,'자율관 배정 R1'!$B:$F,3,FALSE)&amp;"("&amp;VLOOKUP(M27,'자율관 배정 R1'!$B:$E,2,FALSE)&amp;")","")</f>
        <v>()</v>
      </c>
      <c r="N28" s="356" t="str">
        <f>IFERROR(VLOOKUP(N27,'자율관 배정 R1'!$B:$F,3,FALSE)&amp;"("&amp;VLOOKUP(N27,'자율관 배정 R1'!$B:$E,2,FALSE)&amp;")","")</f>
        <v>김동언(8)</v>
      </c>
      <c r="O28" s="354" t="str">
        <f>IFERROR(VLOOKUP(O27,'자율관 배정 R1'!$B:$F,3,FALSE)&amp;"("&amp;VLOOKUP(O27,'자율관 배정 R1'!$B:$E,2,FALSE)&amp;")","")</f>
        <v>윤재혁(8)</v>
      </c>
      <c r="P28" s="206"/>
      <c r="Q28" s="450" t="s">
        <v>1377</v>
      </c>
      <c r="R28" s="448">
        <f>COUNTA(A24:A62,F55:H55,E73:N73,J51:O51,F52:H52,F24:O24,F62:H62,F59:O59,F31:O31,F34:O34,F48:O48,F38:N38,F69:O69,F41:N41,F45:H45,J56:O56,F27:O27,F66:O66)</f>
        <v>144</v>
      </c>
      <c r="S28" s="448">
        <f>COUNTA(B24:B62,F56:H56,E74:N74,J52:O52,F53:H53,AJ16F29:F25:O25,F63:H63,F60:O60,F32:O32,F35:O35,F49:O49,F39:N39,F70:O70,F42:N42,F46:H46,J57:O57,F28:O28,F67:O67)</f>
        <v>141</v>
      </c>
      <c r="T28" s="291"/>
      <c r="U28" s="250" t="str">
        <f>IFERROR(VLOOKUP(U27,'자율관 배정 R1'!$B:$F,3,FALSE)&amp;"("&amp;VLOOKUP(U27,'자율관 배정 R1'!$B:$E,2,FALSE)&amp;")","")</f>
        <v>안세은(4)</v>
      </c>
      <c r="V28" s="250" t="str">
        <f>IFERROR(VLOOKUP(V27,'자율관 배정 R1'!$B:$F,3,FALSE)&amp;"("&amp;VLOOKUP(V27,'자율관 배정 R1'!$B:$E,2,FALSE)&amp;")","")</f>
        <v>김나경(6)</v>
      </c>
      <c r="W28" s="250" t="str">
        <f>IFERROR(VLOOKUP(W27,'자율관 배정 R1'!$B:$F,3,FALSE)&amp;"("&amp;VLOOKUP(W27,'자율관 배정 R1'!$B:$E,2,FALSE)&amp;")","")</f>
        <v>안연수(4)</v>
      </c>
      <c r="X28" s="250" t="str">
        <f>IFERROR(VLOOKUP(X27,'자율관 배정 R1'!$B:$F,3,FALSE)&amp;"("&amp;VLOOKUP(X27,'자율관 배정 R1'!$B:$E,2,FALSE)&amp;")","")</f>
        <v>김윤영(5)</v>
      </c>
      <c r="Y28" s="250" t="str">
        <f>IFERROR(VLOOKUP(Y27,'자율관 배정 R1'!$B:$F,3,FALSE)&amp;"("&amp;VLOOKUP(Y27,'자율관 배정 R1'!$B:$E,2,FALSE)&amp;")","")</f>
        <v>이수진(4)</v>
      </c>
      <c r="Z28" s="250" t="str">
        <f>IFERROR(VLOOKUP(Z27,'자율관 배정 R1'!$B:$F,3,FALSE)&amp;"("&amp;VLOOKUP(Z27,'자율관 배정 R1'!$B:$E,2,FALSE)&amp;")","")</f>
        <v>신서연(5)</v>
      </c>
      <c r="AA28" s="327"/>
      <c r="AB28" s="250" t="str">
        <f>IFERROR(VLOOKUP(AB27,'자율관 배정 R1'!$B:$F,3,FALSE)&amp;"("&amp;VLOOKUP(AB27,'자율관 배정 R1'!$B:$E,2,FALSE)&amp;")","")</f>
        <v>조은빈(4)</v>
      </c>
      <c r="AC28" s="250" t="str">
        <f>IFERROR(VLOOKUP(AC27,'자율관 배정 R1'!$B:$F,3,FALSE)&amp;"("&amp;VLOOKUP(AC27,'자율관 배정 R1'!$B:$E,2,FALSE)&amp;")","")</f>
        <v>안소윤(5)</v>
      </c>
      <c r="AD28" s="250" t="str">
        <f>IFERROR(VLOOKUP(AD27,'자율관 배정 R1'!$B:$F,3,FALSE)&amp;"("&amp;VLOOKUP(AD27,'자율관 배정 R1'!$B:$E,2,FALSE)&amp;")","")</f>
        <v>진채영(4)</v>
      </c>
      <c r="AE28" s="250" t="str">
        <f>IFERROR(VLOOKUP(AE27,'자율관 배정 R1'!$B:$F,3,FALSE)&amp;"("&amp;VLOOKUP(AE27,'자율관 배정 R1'!$B:$E,2,FALSE)&amp;")","")</f>
        <v>우희승(5)</v>
      </c>
      <c r="AF28" s="250" t="str">
        <f>IFERROR(VLOOKUP(AF27,'자율관 배정 R1'!$B:$F,3,FALSE)&amp;"("&amp;VLOOKUP(AF27,'자율관 배정 R1'!$B:$E,2,FALSE)&amp;")","")</f>
        <v>하다희(4)</v>
      </c>
      <c r="AG28" s="202"/>
    </row>
    <row r="29" spans="1:205" ht="19.5" customHeight="1" thickBot="1" x14ac:dyDescent="0.35">
      <c r="A29" s="289" t="s">
        <v>1412</v>
      </c>
      <c r="B29" s="249" t="str">
        <f>IFERROR(VLOOKUP(A29,'자율관 배정 R1'!$B:$F,3,FALSE)&amp;"("&amp;VLOOKUP(A29,'자율관 배정 R1'!$B:$E,2,FALSE)&amp;")","")</f>
        <v>곽형원(12)</v>
      </c>
      <c r="C29" s="334" t="str">
        <f>IFERROR(VLOOKUP(A29,'자율관 배정 R1'!$B:$F,5,FALSE)&amp;"","")</f>
        <v>기숙사</v>
      </c>
      <c r="D29" s="327" t="str">
        <f>IFERROR(VLOOKUP(A29,'자율관 배정 R1'!$B:$G,8,FALSE)&amp;"","")</f>
        <v/>
      </c>
      <c r="E29" s="327"/>
      <c r="F29" s="360" t="str">
        <f>IFERROR(VLOOKUP(F27,'자율관 배정 R1'!$B:$F,5,FALSE)&amp;"","")</f>
        <v>월화목</v>
      </c>
      <c r="G29" s="360" t="str">
        <f>IFERROR(VLOOKUP(G27,'자율관 배정 R1'!$B:$F,5,FALSE)&amp;"","")</f>
        <v>기숙사</v>
      </c>
      <c r="H29" s="360" t="str">
        <f>IFERROR(VLOOKUP(H27,'자율관 배정 R1'!$B:$F,5,FALSE)&amp;"","")</f>
        <v/>
      </c>
      <c r="I29" s="327"/>
      <c r="J29" s="360" t="str">
        <f>IFERROR(VLOOKUP(J27,'자율관 배정 R1'!$B:$F,5,FALSE)&amp;"","")</f>
        <v>기숙사</v>
      </c>
      <c r="K29" s="360" t="str">
        <f>IFERROR(VLOOKUP(K27,'자율관 배정 R1'!$B:$F,5,FALSE)&amp;"","")</f>
        <v/>
      </c>
      <c r="L29" s="360" t="str">
        <f>IFERROR(VLOOKUP(L27,'자율관 배정 R1'!$B:$F,5,FALSE)&amp;"","")</f>
        <v>기숙사</v>
      </c>
      <c r="M29" s="360" t="str">
        <f>IFERROR(VLOOKUP(M27,'자율관 배정 R1'!$B:$F,5,FALSE)&amp;"","")</f>
        <v/>
      </c>
      <c r="N29" s="360" t="str">
        <f>IFERROR(VLOOKUP(N27,'자율관 배정 R1'!$B:$F,5,FALSE)&amp;"","")</f>
        <v>기숙사</v>
      </c>
      <c r="O29" s="360" t="str">
        <f>IFERROR(VLOOKUP(O27,'자율관 배정 R1'!$B:$F,5,FALSE)&amp;"","")</f>
        <v>EP면학X</v>
      </c>
      <c r="P29" s="206"/>
      <c r="Q29" s="450" t="s">
        <v>1378</v>
      </c>
      <c r="R29" s="448">
        <f>COUNTA(A6:U6,A9:U9,A13:U13,A16:U16,A20:V20)</f>
        <v>80</v>
      </c>
      <c r="S29" s="448">
        <f>COUNTA(A7:U7,A10:U10,A14:U14,A17:U17,A21:M21)</f>
        <v>77</v>
      </c>
      <c r="T29" s="291"/>
      <c r="U29" s="358" t="str">
        <f>IFERROR(VLOOKUP(U27,'자율관 배정 R1'!$B:$F,5,FALSE)&amp;"","")</f>
        <v>EP면학X</v>
      </c>
      <c r="V29" s="358" t="str">
        <f>IFERROR(VLOOKUP(V27,'자율관 배정 R1'!$B:$F,5,FALSE)&amp;"","")</f>
        <v>EP면학X</v>
      </c>
      <c r="W29" s="358" t="str">
        <f>IFERROR(VLOOKUP(W27,'자율관 배정 R1'!$B:$F,5,FALSE)&amp;"","")</f>
        <v>EP면학X</v>
      </c>
      <c r="X29" s="358" t="str">
        <f>IFERROR(VLOOKUP(X27,'자율관 배정 R1'!$B:$F,5,FALSE)&amp;"","")</f>
        <v>EP면학X</v>
      </c>
      <c r="Y29" s="358" t="str">
        <f>IFERROR(VLOOKUP(Y27,'자율관 배정 R1'!$B:$F,5,FALSE)&amp;"","")</f>
        <v>기숙사</v>
      </c>
      <c r="Z29" s="358" t="str">
        <f>IFERROR(VLOOKUP(Z27,'자율관 배정 R1'!$B:$F,5,FALSE)&amp;"","")</f>
        <v>EP면학X</v>
      </c>
      <c r="AA29" s="361"/>
      <c r="AB29" s="358" t="str">
        <f>IFERROR(VLOOKUP(AB27,'자율관 배정 R1'!$B:$F,5,FALSE)&amp;"","")</f>
        <v>기숙사</v>
      </c>
      <c r="AC29" s="358" t="str">
        <f>IFERROR(VLOOKUP(AC27,'자율관 배정 R1'!$B:$F,5,FALSE)&amp;"","")</f>
        <v>EP면학X</v>
      </c>
      <c r="AD29" s="358" t="str">
        <f>IFERROR(VLOOKUP(AD27,'자율관 배정 R1'!$B:$F,5,FALSE)&amp;"","")</f>
        <v>EP면학X</v>
      </c>
      <c r="AE29" s="358" t="str">
        <f>IFERROR(VLOOKUP(AE27,'자율관 배정 R1'!$B:$F,5,FALSE)&amp;"","")</f>
        <v>EP면학X</v>
      </c>
      <c r="AF29" s="358" t="str">
        <f>IFERROR(VLOOKUP(AF27,'자율관 배정 R1'!$B:$F,5,FALSE)&amp;"","")</f>
        <v>월화수목</v>
      </c>
      <c r="AG29" s="202"/>
    </row>
    <row r="30" spans="1:205" s="262" customFormat="1" ht="20.100000000000001" customHeight="1" thickBot="1" x14ac:dyDescent="0.35">
      <c r="A30" s="294" t="s">
        <v>1413</v>
      </c>
      <c r="B30" s="249" t="str">
        <f>IFERROR(VLOOKUP(A30,'자율관 배정 R1'!$B:$F,3,FALSE)&amp;"("&amp;VLOOKUP(A30,'자율관 배정 R1'!$B:$E,2,FALSE)&amp;")","")</f>
        <v>서장협(10)</v>
      </c>
      <c r="C30" s="334" t="str">
        <f>IFERROR(VLOOKUP(A30,'자율관 배정 R1'!$B:$F,5,FALSE)&amp;"","")</f>
        <v>EP면학X</v>
      </c>
      <c r="D30" s="327" t="str">
        <f>IFERROR(VLOOKUP(A30,'자율관 배정 R1'!$B:$G,8,FALSE)&amp;"","")</f>
        <v/>
      </c>
      <c r="E30" s="327"/>
      <c r="I30" s="327"/>
      <c r="P30" s="207"/>
      <c r="Q30" s="398" t="s">
        <v>1543</v>
      </c>
      <c r="R30" s="397">
        <f>COUNTA(X6:AF6,X9:AF9,X13:AF13,X16:AF16,AE20:AF20)</f>
        <v>34</v>
      </c>
      <c r="S30" s="397">
        <f>COUNTA(X7:AF7,X10:AF10,X14:AF14,X17:AF17,AE21:AF21)</f>
        <v>34</v>
      </c>
      <c r="T30" s="531" t="s">
        <v>1</v>
      </c>
      <c r="U30" s="305" t="s">
        <v>25</v>
      </c>
      <c r="V30" s="305" t="s">
        <v>26</v>
      </c>
      <c r="W30" s="305" t="s">
        <v>27</v>
      </c>
      <c r="X30" s="305" t="s">
        <v>28</v>
      </c>
      <c r="Y30" s="305" t="s">
        <v>29</v>
      </c>
      <c r="Z30" s="305" t="s">
        <v>30</v>
      </c>
      <c r="AA30" s="327"/>
      <c r="AB30" s="305" t="s">
        <v>31</v>
      </c>
      <c r="AC30" s="305" t="s">
        <v>32</v>
      </c>
      <c r="AD30" s="305" t="s">
        <v>33</v>
      </c>
      <c r="AE30" s="305" t="s">
        <v>34</v>
      </c>
      <c r="AF30" s="362" t="s">
        <v>35</v>
      </c>
      <c r="AG30" s="202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0"/>
      <c r="BK30" s="260"/>
      <c r="BL30" s="260"/>
      <c r="BM30" s="260"/>
      <c r="BN30" s="260"/>
      <c r="BO30" s="260"/>
      <c r="BP30" s="260"/>
      <c r="BQ30" s="260"/>
      <c r="BR30" s="260"/>
      <c r="BS30" s="260"/>
      <c r="BT30" s="260"/>
      <c r="BU30" s="260"/>
      <c r="BV30" s="260"/>
      <c r="BW30" s="260"/>
      <c r="BX30" s="260"/>
      <c r="BY30" s="260"/>
      <c r="BZ30" s="260"/>
      <c r="CA30" s="260"/>
      <c r="CB30" s="260"/>
      <c r="CC30" s="260"/>
      <c r="CD30" s="260"/>
      <c r="CE30" s="260"/>
      <c r="CF30" s="260"/>
      <c r="CG30" s="260"/>
      <c r="CH30" s="260"/>
      <c r="CI30" s="260"/>
      <c r="CJ30" s="260"/>
      <c r="CK30" s="260"/>
      <c r="CL30" s="260"/>
      <c r="CM30" s="260"/>
      <c r="CN30" s="260"/>
      <c r="CO30" s="260"/>
      <c r="CP30" s="260"/>
      <c r="CQ30" s="260"/>
      <c r="CR30" s="260"/>
      <c r="CS30" s="260"/>
      <c r="CT30" s="260"/>
      <c r="CU30" s="260"/>
      <c r="CV30" s="260"/>
      <c r="CW30" s="260"/>
      <c r="CX30" s="260"/>
      <c r="CY30" s="260"/>
      <c r="CZ30" s="260"/>
      <c r="DA30" s="260"/>
      <c r="DB30" s="260"/>
      <c r="DC30" s="260"/>
      <c r="DD30" s="260"/>
      <c r="DE30" s="260"/>
      <c r="DF30" s="260"/>
      <c r="DG30" s="260"/>
      <c r="DH30" s="260"/>
      <c r="DI30" s="260"/>
      <c r="DJ30" s="260"/>
      <c r="DK30" s="260"/>
      <c r="DL30" s="260"/>
      <c r="DM30" s="260"/>
      <c r="DN30" s="260"/>
      <c r="DO30" s="260"/>
      <c r="DP30" s="260"/>
      <c r="DQ30" s="260"/>
      <c r="DR30" s="260"/>
      <c r="DS30" s="260"/>
      <c r="DT30" s="260"/>
      <c r="DU30" s="260"/>
      <c r="DV30" s="260"/>
      <c r="DW30" s="260"/>
      <c r="DX30" s="260"/>
      <c r="DY30" s="260"/>
      <c r="DZ30" s="260"/>
      <c r="EA30" s="260"/>
      <c r="EB30" s="260"/>
      <c r="EC30" s="260"/>
      <c r="ED30" s="260"/>
      <c r="EE30" s="260"/>
      <c r="EF30" s="260"/>
      <c r="EG30" s="260"/>
      <c r="EH30" s="260"/>
      <c r="EI30" s="260"/>
      <c r="EJ30" s="260"/>
      <c r="EK30" s="260"/>
      <c r="EL30" s="260"/>
      <c r="EM30" s="260"/>
      <c r="EN30" s="260"/>
      <c r="EO30" s="260"/>
      <c r="EP30" s="260"/>
      <c r="EQ30" s="260"/>
      <c r="ER30" s="260"/>
      <c r="ES30" s="260"/>
      <c r="ET30" s="260"/>
      <c r="EU30" s="260"/>
      <c r="EV30" s="260"/>
      <c r="EW30" s="260"/>
      <c r="EX30" s="260"/>
      <c r="EY30" s="260"/>
      <c r="EZ30" s="260"/>
      <c r="FA30" s="260"/>
      <c r="FB30" s="260"/>
      <c r="FC30" s="260"/>
      <c r="FD30" s="260"/>
      <c r="FE30" s="260"/>
      <c r="FF30" s="260"/>
      <c r="FG30" s="260"/>
      <c r="FH30" s="260"/>
      <c r="FI30" s="260"/>
      <c r="FJ30" s="260"/>
      <c r="FK30" s="260"/>
      <c r="FL30" s="260"/>
      <c r="FM30" s="260"/>
      <c r="FN30" s="260"/>
      <c r="FO30" s="260"/>
      <c r="FP30" s="260"/>
      <c r="FQ30" s="260"/>
      <c r="FR30" s="260"/>
      <c r="FS30" s="260"/>
      <c r="FT30" s="260"/>
      <c r="FU30" s="260"/>
      <c r="FV30" s="260"/>
      <c r="FW30" s="260"/>
      <c r="FX30" s="260"/>
      <c r="FY30" s="260"/>
      <c r="FZ30" s="260"/>
      <c r="GA30" s="260"/>
      <c r="GB30" s="260"/>
      <c r="GC30" s="260"/>
      <c r="GD30" s="260"/>
      <c r="GE30" s="260"/>
      <c r="GF30" s="260"/>
      <c r="GG30" s="260"/>
      <c r="GH30" s="260"/>
      <c r="GI30" s="260"/>
      <c r="GJ30" s="260"/>
      <c r="GK30" s="260"/>
      <c r="GL30" s="260"/>
      <c r="GM30" s="260"/>
      <c r="GN30" s="260"/>
      <c r="GO30" s="260"/>
      <c r="GP30" s="260"/>
      <c r="GQ30" s="260"/>
      <c r="GR30" s="260"/>
      <c r="GS30" s="260"/>
      <c r="GT30" s="260"/>
      <c r="GU30" s="260"/>
      <c r="GV30" s="260"/>
      <c r="GW30" s="260"/>
    </row>
    <row r="31" spans="1:205" s="260" customFormat="1" ht="20.100000000000001" customHeight="1" thickBot="1" x14ac:dyDescent="0.35">
      <c r="A31" s="289" t="s">
        <v>1414</v>
      </c>
      <c r="B31" s="249" t="str">
        <f>IFERROR(VLOOKUP(A31,'자율관 배정 R1'!$B:$F,3,FALSE)&amp;"("&amp;VLOOKUP(A31,'자율관 배정 R1'!$B:$E,2,FALSE)&amp;")","")</f>
        <v>김시우(12)</v>
      </c>
      <c r="C31" s="334" t="str">
        <f>IFERROR(VLOOKUP(A31,'자율관 배정 R1'!$B:$F,5,FALSE)&amp;"","")</f>
        <v>기숙사</v>
      </c>
      <c r="D31" s="327" t="str">
        <f>IFERROR(VLOOKUP(A31,'자율관 배정 R1'!$B:$G,8,FALSE)&amp;"","")</f>
        <v/>
      </c>
      <c r="E31" s="327"/>
      <c r="F31" s="290" t="s">
        <v>1398</v>
      </c>
      <c r="G31" s="290" t="s">
        <v>1397</v>
      </c>
      <c r="H31" s="290" t="s">
        <v>1396</v>
      </c>
      <c r="I31" s="327"/>
      <c r="J31" s="290" t="s">
        <v>1395</v>
      </c>
      <c r="K31" s="290" t="s">
        <v>155</v>
      </c>
      <c r="L31" s="290" t="s">
        <v>156</v>
      </c>
      <c r="M31" s="290" t="s">
        <v>157</v>
      </c>
      <c r="N31" s="290" t="s">
        <v>158</v>
      </c>
      <c r="O31" s="290" t="s">
        <v>159</v>
      </c>
      <c r="P31" s="371"/>
      <c r="Q31" s="450" t="s">
        <v>1379</v>
      </c>
      <c r="R31" s="451">
        <f>COUNTA(U44:AF44,U41:AF41,U30:AF30,U37:AF37,U27:AF27,U48:AF48,U51:AF51,U34:AF34,U58:AF58,U55:AF55,V62:AF62,Z65,AB65:AF65)</f>
        <v>123</v>
      </c>
      <c r="S31" s="451">
        <f>COUNTA(U45:AF45,U42:AF42,U31:AF31,U38:AF38,U28:AF28,U49:AF49,U52:AF52,U35:AF35,U59:AF59,U56:AF56,V63:AF63,Z66:AF66)</f>
        <v>123</v>
      </c>
      <c r="T31" s="532"/>
      <c r="U31" s="250" t="str">
        <f>IFERROR(VLOOKUP(U30,'자율관 배정 R1'!$B:$F,3,FALSE)&amp;"("&amp;VLOOKUP(U30,'자율관 배정 R1'!$B:$E,2,FALSE)&amp;")","")</f>
        <v>김래은(6)</v>
      </c>
      <c r="V31" s="250" t="str">
        <f>IFERROR(VLOOKUP(V30,'자율관 배정 R1'!$B:$F,3,FALSE)&amp;"("&amp;VLOOKUP(V30,'자율관 배정 R1'!$B:$E,2,FALSE)&amp;")","")</f>
        <v>황은채(4)</v>
      </c>
      <c r="W31" s="250" t="str">
        <f>IFERROR(VLOOKUP(W30,'자율관 배정 R1'!$B:$F,3,FALSE)&amp;"("&amp;VLOOKUP(W30,'자율관 배정 R1'!$B:$E,2,FALSE)&amp;")","")</f>
        <v>김보민(6)</v>
      </c>
      <c r="X31" s="250" t="str">
        <f>IFERROR(VLOOKUP(X30,'자율관 배정 R1'!$B:$F,3,FALSE)&amp;"("&amp;VLOOKUP(X30,'자율관 배정 R1'!$B:$E,2,FALSE)&amp;")","")</f>
        <v>김아현(5)</v>
      </c>
      <c r="Y31" s="250" t="str">
        <f>IFERROR(VLOOKUP(Y30,'자율관 배정 R1'!$B:$F,3,FALSE)&amp;"("&amp;VLOOKUP(Y30,'자율관 배정 R1'!$B:$E,2,FALSE)&amp;")","")</f>
        <v>김서연(6)</v>
      </c>
      <c r="Z31" s="250" t="str">
        <f>IFERROR(VLOOKUP(Z30,'자율관 배정 R1'!$B:$F,3,FALSE)&amp;"("&amp;VLOOKUP(Z30,'자율관 배정 R1'!$B:$E,2,FALSE)&amp;")","")</f>
        <v>변채은(5)</v>
      </c>
      <c r="AA31" s="327"/>
      <c r="AB31" s="250" t="str">
        <f>IFERROR(VLOOKUP(AB30,'자율관 배정 R1'!$B:$F,3,FALSE)&amp;"("&amp;VLOOKUP(AB30,'자율관 배정 R1'!$B:$E,2,FALSE)&amp;")","")</f>
        <v>김예은(6)</v>
      </c>
      <c r="AC31" s="250" t="str">
        <f>IFERROR(VLOOKUP(AC30,'자율관 배정 R1'!$B:$F,3,FALSE)&amp;"("&amp;VLOOKUP(AC30,'자율관 배정 R1'!$B:$E,2,FALSE)&amp;")","")</f>
        <v>원지현(5)</v>
      </c>
      <c r="AD31" s="250" t="str">
        <f>IFERROR(VLOOKUP(AD30,'자율관 배정 R1'!$B:$F,3,FALSE)&amp;"("&amp;VLOOKUP(AD30,'자율관 배정 R1'!$B:$E,2,FALSE)&amp;")","")</f>
        <v>김유민(6)</v>
      </c>
      <c r="AE31" s="250" t="str">
        <f>IFERROR(VLOOKUP(AE30,'자율관 배정 R1'!$B:$F,3,FALSE)&amp;"("&amp;VLOOKUP(AE30,'자율관 배정 R1'!$B:$E,2,FALSE)&amp;")","")</f>
        <v>최수정(5)</v>
      </c>
      <c r="AF31" s="365" t="str">
        <f>IFERROR(VLOOKUP(AF30,'자율관 배정 R1'!$B:$F,3,FALSE)&amp;"("&amp;VLOOKUP(AF30,'자율관 배정 R1'!$B:$E,2,FALSE)&amp;")","")</f>
        <v>신유희(6)</v>
      </c>
      <c r="AG31" s="202"/>
    </row>
    <row r="32" spans="1:205" ht="20.100000000000001" customHeight="1" thickBot="1" x14ac:dyDescent="0.35">
      <c r="A32" s="294" t="s">
        <v>1415</v>
      </c>
      <c r="B32" s="249" t="str">
        <f>IFERROR(VLOOKUP(A32,'자율관 배정 R1'!$B:$F,3,FALSE)&amp;"("&amp;VLOOKUP(A32,'자율관 배정 R1'!$B:$E,2,FALSE)&amp;")","")</f>
        <v>이정우(10)</v>
      </c>
      <c r="C32" s="344" t="str">
        <f>IFERROR(VLOOKUP(A32,'자율관 배정 R1'!$B:$F,5,FALSE)&amp;"","")</f>
        <v>EP면학X</v>
      </c>
      <c r="D32" s="327" t="str">
        <f>IFERROR(VLOOKUP(A32,'자율관 배정 R1'!$B:$G,8,FALSE)&amp;"","")</f>
        <v/>
      </c>
      <c r="E32" s="327"/>
      <c r="F32" s="250" t="str">
        <f>IFERROR(VLOOKUP(F31,'자율관 배정 R1'!$B:$F,3,FALSE)&amp;"("&amp;VLOOKUP(F31,'자율관 배정 R1'!$B:$E,2,FALSE)&amp;")","")</f>
        <v>강은혁(8)</v>
      </c>
      <c r="G32" s="250" t="str">
        <f>IFERROR(VLOOKUP(G31,'자율관 배정 R1'!$B:$F,3,FALSE)&amp;"("&amp;VLOOKUP(G31,'자율관 배정 R1'!$B:$E,2,FALSE)&amp;")","")</f>
        <v>()</v>
      </c>
      <c r="H32" s="250" t="str">
        <f>IFERROR(VLOOKUP(H31,'자율관 배정 R1'!$B:$F,3,FALSE)&amp;"("&amp;VLOOKUP(H31,'자율관 배정 R1'!$B:$E,2,FALSE)&amp;")","")</f>
        <v>최영운(7)</v>
      </c>
      <c r="I32" s="327"/>
      <c r="J32" s="250" t="str">
        <f>IFERROR(VLOOKUP(J31,'자율관 배정 R1'!$B:$F,3,FALSE)&amp;"("&amp;VLOOKUP(J31,'자율관 배정 R1'!$B:$E,2,FALSE)&amp;")","")</f>
        <v>선규민(8)</v>
      </c>
      <c r="K32" s="250" t="str">
        <f>IFERROR(VLOOKUP(K31,'자율관 배정 R1'!$B:$F,3,FALSE)&amp;"("&amp;VLOOKUP(K31,'자율관 배정 R1'!$B:$E,2,FALSE)&amp;")","")</f>
        <v>최동혁(7)</v>
      </c>
      <c r="L32" s="250" t="str">
        <f>IFERROR(VLOOKUP(L31,'자율관 배정 R1'!$B:$F,3,FALSE)&amp;"("&amp;VLOOKUP(L31,'자율관 배정 R1'!$B:$E,2,FALSE)&amp;")","")</f>
        <v>()</v>
      </c>
      <c r="M32" s="250" t="str">
        <f>IFERROR(VLOOKUP(M31,'자율관 배정 R1'!$B:$F,3,FALSE)&amp;"("&amp;VLOOKUP(M31,'자율관 배정 R1'!$B:$E,2,FALSE)&amp;")","")</f>
        <v>이윤서(7)</v>
      </c>
      <c r="N32" s="250" t="str">
        <f>IFERROR(VLOOKUP(N31,'자율관 배정 R1'!$B:$F,3,FALSE)&amp;"("&amp;VLOOKUP(N31,'자율관 배정 R1'!$B:$E,2,FALSE)&amp;")","")</f>
        <v>()</v>
      </c>
      <c r="O32" s="250" t="str">
        <f>IFERROR(VLOOKUP(O31,'자율관 배정 R1'!$B:$F,3,FALSE)&amp;"("&amp;VLOOKUP(O31,'자율관 배정 R1'!$B:$E,2,FALSE)&amp;")","")</f>
        <v>윤찬빈(7)</v>
      </c>
      <c r="P32" s="329"/>
      <c r="Q32" s="450" t="s">
        <v>1380</v>
      </c>
      <c r="R32" s="450">
        <f>SUM(R28:R31)</f>
        <v>381</v>
      </c>
      <c r="S32" s="450">
        <f>SUM(S28:S31)</f>
        <v>375</v>
      </c>
      <c r="T32" s="532"/>
      <c r="U32" s="368" t="str">
        <f>IFERROR(VLOOKUP(U30,'자율관 배정 R1'!$B:$F,5,FALSE)&amp;"","")</f>
        <v>EP면학X</v>
      </c>
      <c r="V32" s="368" t="str">
        <f>IFERROR(VLOOKUP(V30,'자율관 배정 R1'!$B:$F,5,FALSE)&amp;"","")</f>
        <v>기숙사</v>
      </c>
      <c r="W32" s="368" t="str">
        <f>IFERROR(VLOOKUP(W30,'자율관 배정 R1'!$B:$F,5,FALSE)&amp;"","")</f>
        <v>EP면학X</v>
      </c>
      <c r="X32" s="368" t="str">
        <f>IFERROR(VLOOKUP(X30,'자율관 배정 R1'!$B:$F,5,FALSE)&amp;"","")</f>
        <v>기숙사</v>
      </c>
      <c r="Y32" s="368" t="str">
        <f>IFERROR(VLOOKUP(Y30,'자율관 배정 R1'!$B:$F,5,FALSE)&amp;"","")</f>
        <v>EP면학X</v>
      </c>
      <c r="Z32" s="368" t="str">
        <f>IFERROR(VLOOKUP(Z30,'자율관 배정 R1'!$B:$F,5,FALSE)&amp;"","")</f>
        <v>기숙사</v>
      </c>
      <c r="AA32" s="327"/>
      <c r="AB32" s="368" t="str">
        <f>IFERROR(VLOOKUP(AB30,'자율관 배정 R1'!$B:$F,5,FALSE)&amp;"","")</f>
        <v>월화수목</v>
      </c>
      <c r="AC32" s="368" t="str">
        <f>IFERROR(VLOOKUP(AC30,'자율관 배정 R1'!$B:$F,5,FALSE)&amp;"","")</f>
        <v>EP면학X</v>
      </c>
      <c r="AD32" s="368" t="str">
        <f>IFERROR(VLOOKUP(AD30,'자율관 배정 R1'!$B:$F,5,FALSE)&amp;"","")</f>
        <v>EP면학X</v>
      </c>
      <c r="AE32" s="368" t="str">
        <f>IFERROR(VLOOKUP(AE30,'자율관 배정 R1'!$B:$F,5,FALSE)&amp;"","")</f>
        <v>월화수목</v>
      </c>
      <c r="AF32" s="368" t="str">
        <f>IFERROR(VLOOKUP(AF30,'자율관 배정 R1'!$B:$F,5,FALSE)&amp;"","")</f>
        <v>EP면학X</v>
      </c>
      <c r="AG32" s="202"/>
    </row>
    <row r="33" spans="1:206" ht="20.100000000000001" customHeight="1" thickBot="1" x14ac:dyDescent="0.35">
      <c r="A33" s="343"/>
      <c r="B33" s="342"/>
      <c r="C33" s="345" t="str">
        <f>IFERROR(VLOOKUP(A33,'자율관 배정 R1'!$B:$F,7,FALSE)&amp;"","")</f>
        <v/>
      </c>
      <c r="D33" s="327" t="str">
        <f>IFERROR(VLOOKUP(A33,'자율관 배정 R1'!$B:$G,8,FALSE)&amp;"","")</f>
        <v/>
      </c>
      <c r="E33" s="337"/>
      <c r="F33" s="360" t="str">
        <f>IFERROR(VLOOKUP(F31,'자율관 배정 R1'!$B:$F,5,FALSE)&amp;"","")</f>
        <v>기숙사</v>
      </c>
      <c r="G33" s="360" t="str">
        <f>IFERROR(VLOOKUP(G31,'자율관 배정 R1'!$B:$F,5,FALSE)&amp;"","")</f>
        <v/>
      </c>
      <c r="H33" s="360" t="str">
        <f>IFERROR(VLOOKUP(H31,'자율관 배정 R1'!$B:$F,5,FALSE)&amp;"","")</f>
        <v>기숙사</v>
      </c>
      <c r="I33" s="327"/>
      <c r="J33" s="360" t="str">
        <f>IFERROR(VLOOKUP(J31,'자율관 배정 R1'!$B:$F,5,FALSE)&amp;"","")</f>
        <v>EP면학X</v>
      </c>
      <c r="K33" s="360" t="str">
        <f>IFERROR(VLOOKUP(K31,'자율관 배정 R1'!$B:$F,5,FALSE)&amp;"","")</f>
        <v>월화수목</v>
      </c>
      <c r="L33" s="360" t="str">
        <f>IFERROR(VLOOKUP(L31,'자율관 배정 R1'!$B:$F,5,FALSE)&amp;"","")</f>
        <v/>
      </c>
      <c r="M33" s="360" t="str">
        <f>IFERROR(VLOOKUP(M31,'자율관 배정 R1'!$B:$F,5,FALSE)&amp;"","")</f>
        <v>화수목</v>
      </c>
      <c r="N33" s="360" t="str">
        <f>IFERROR(VLOOKUP(N31,'자율관 배정 R1'!$B:$F,5,FALSE)&amp;"","")</f>
        <v/>
      </c>
      <c r="O33" s="360" t="str">
        <f>IFERROR(VLOOKUP(O31,'자율관 배정 R1'!$B:$F,5,FALSE)&amp;"","")</f>
        <v>기숙사</v>
      </c>
      <c r="P33" s="329"/>
      <c r="Q33" s="452"/>
      <c r="R33" s="453"/>
      <c r="S33" s="454"/>
      <c r="T33" s="532"/>
      <c r="U33" s="254"/>
      <c r="V33" s="255"/>
      <c r="W33" s="255"/>
      <c r="X33" s="255"/>
      <c r="Y33" s="255"/>
      <c r="Z33" s="255"/>
      <c r="AA33" s="327"/>
      <c r="AB33" s="255"/>
      <c r="AC33" s="255"/>
      <c r="AD33" s="255"/>
      <c r="AE33" s="255"/>
      <c r="AF33" s="455"/>
      <c r="AG33" s="202"/>
      <c r="GX33" s="260"/>
    </row>
    <row r="34" spans="1:206" ht="20.100000000000001" customHeight="1" thickBot="1" x14ac:dyDescent="0.35">
      <c r="A34" s="343"/>
      <c r="B34" s="342"/>
      <c r="C34" s="345" t="str">
        <f>IFERROR(VLOOKUP(A34,'자율관 배정 R1'!$B:$F,7,FALSE)&amp;"","")</f>
        <v/>
      </c>
      <c r="D34" s="327" t="str">
        <f>IFERROR(VLOOKUP(A34,'자율관 배정 R1'!$B:$G,8,FALSE)&amp;"","")</f>
        <v/>
      </c>
      <c r="E34" s="337"/>
      <c r="F34" s="290" t="s">
        <v>160</v>
      </c>
      <c r="G34" s="290" t="s">
        <v>161</v>
      </c>
      <c r="H34" s="290" t="s">
        <v>162</v>
      </c>
      <c r="I34" s="327"/>
      <c r="J34" s="290" t="s">
        <v>163</v>
      </c>
      <c r="K34" s="290" t="s">
        <v>164</v>
      </c>
      <c r="L34" s="290" t="s">
        <v>165</v>
      </c>
      <c r="M34" s="290" t="s">
        <v>166</v>
      </c>
      <c r="N34" s="290" t="s">
        <v>167</v>
      </c>
      <c r="O34" s="290" t="s">
        <v>168</v>
      </c>
      <c r="P34" s="329"/>
      <c r="Q34" s="260"/>
      <c r="R34" s="260"/>
      <c r="S34" s="260"/>
      <c r="T34" s="533"/>
      <c r="U34" s="305" t="s">
        <v>36</v>
      </c>
      <c r="V34" s="305" t="s">
        <v>37</v>
      </c>
      <c r="W34" s="305" t="s">
        <v>38</v>
      </c>
      <c r="X34" s="305" t="s">
        <v>39</v>
      </c>
      <c r="Y34" s="305" t="s">
        <v>40</v>
      </c>
      <c r="Z34" s="305" t="s">
        <v>41</v>
      </c>
      <c r="AA34" s="327"/>
      <c r="AB34" s="296" t="s">
        <v>42</v>
      </c>
      <c r="AC34" s="296" t="s">
        <v>43</v>
      </c>
      <c r="AD34" s="296" t="s">
        <v>44</v>
      </c>
      <c r="AE34" s="296" t="s">
        <v>45</v>
      </c>
      <c r="AF34" s="296" t="s">
        <v>46</v>
      </c>
      <c r="AG34" s="242" t="str">
        <f>IFERROR(VLOOKUP(AG32,'자율관 배정 R1'!$B:$G,8,FALSE)&amp;"","")</f>
        <v/>
      </c>
      <c r="GX34" s="260"/>
    </row>
    <row r="35" spans="1:206" ht="19.5" customHeight="1" x14ac:dyDescent="0.3">
      <c r="A35" s="343"/>
      <c r="B35" s="342"/>
      <c r="C35" s="345" t="str">
        <f>IFERROR(VLOOKUP(A35,'자율관 배정 R1'!$B:$F,7,FALSE)&amp;"","")</f>
        <v/>
      </c>
      <c r="D35" s="327" t="str">
        <f>IFERROR(VLOOKUP(A35,'자율관 배정 R1'!$B:$G,8,FALSE)&amp;"","")</f>
        <v/>
      </c>
      <c r="E35" s="327"/>
      <c r="F35" s="250" t="str">
        <f>IFERROR(VLOOKUP(F34,'자율관 배정 R1'!$B:$F,3,FALSE)&amp;"("&amp;VLOOKUP(F34,'자율관 배정 R1'!$B:$E,2,FALSE)&amp;")","")</f>
        <v>구본욱(8)</v>
      </c>
      <c r="G35" s="250" t="str">
        <f>IFERROR(VLOOKUP(G34,'자율관 배정 R1'!$B:$F,3,FALSE)&amp;"("&amp;VLOOKUP(G34,'자율관 배정 R1'!$B:$E,2,FALSE)&amp;")","")</f>
        <v>손민준(7)</v>
      </c>
      <c r="H35" s="250" t="str">
        <f>IFERROR(VLOOKUP(H34,'자율관 배정 R1'!$B:$F,3,FALSE)&amp;"("&amp;VLOOKUP(H34,'자율관 배정 R1'!$B:$E,2,FALSE)&amp;")","")</f>
        <v>()</v>
      </c>
      <c r="I35" s="327"/>
      <c r="J35" s="250" t="str">
        <f>IFERROR(VLOOKUP(J34,'자율관 배정 R1'!$B:$F,3,FALSE)&amp;"("&amp;VLOOKUP(J34,'자율관 배정 R1'!$B:$E,2,FALSE)&amp;")","")</f>
        <v>박찬빈(7)</v>
      </c>
      <c r="K35" s="250" t="str">
        <f>IFERROR(VLOOKUP(K34,'자율관 배정 R1'!$B:$F,3,FALSE)&amp;"("&amp;VLOOKUP(K34,'자율관 배정 R1'!$B:$E,2,FALSE)&amp;")","")</f>
        <v>()</v>
      </c>
      <c r="L35" s="250" t="str">
        <f>IFERROR(VLOOKUP(L34,'자율관 배정 R1'!$B:$F,3,FALSE)&amp;"("&amp;VLOOKUP(L34,'자율관 배정 R1'!$B:$E,2,FALSE)&amp;")","")</f>
        <v>김민석(7)</v>
      </c>
      <c r="M35" s="250" t="str">
        <f>IFERROR(VLOOKUP(M34,'자율관 배정 R1'!$B:$F,3,FALSE)&amp;"("&amp;VLOOKUP(M34,'자율관 배정 R1'!$B:$E,2,FALSE)&amp;")","")</f>
        <v>()</v>
      </c>
      <c r="N35" s="250" t="str">
        <f>IFERROR(VLOOKUP(N34,'자율관 배정 R1'!$B:$F,3,FALSE)&amp;"("&amp;VLOOKUP(N34,'자율관 배정 R1'!$B:$E,2,FALSE)&amp;")","")</f>
        <v>이지호(6)</v>
      </c>
      <c r="O35" s="250" t="str">
        <f>IFERROR(VLOOKUP(O34,'자율관 배정 R1'!$B:$F,3,FALSE)&amp;"("&amp;VLOOKUP(O34,'자율관 배정 R1'!$B:$E,2,FALSE)&amp;")","")</f>
        <v>한서준(7)</v>
      </c>
      <c r="P35" s="329"/>
      <c r="Q35" s="528" t="s">
        <v>1542</v>
      </c>
      <c r="R35" s="260"/>
      <c r="S35" s="260"/>
      <c r="T35" s="291"/>
      <c r="U35" s="244" t="str">
        <f>IFERROR(VLOOKUP(U34,'자율관 배정 R1'!$B:$F,3,FALSE)&amp;"("&amp;VLOOKUP(U34,'자율관 배정 R1'!$B:$E,2,FALSE)&amp;")","")</f>
        <v>최여울(5)</v>
      </c>
      <c r="V35" s="250" t="str">
        <f>IFERROR(VLOOKUP(V34,'자율관 배정 R1'!$B:$F,3,FALSE)&amp;"("&amp;VLOOKUP(V34,'자율관 배정 R1'!$B:$E,2,FALSE)&amp;")","")</f>
        <v>양현서(6)</v>
      </c>
      <c r="W35" s="250" t="str">
        <f>IFERROR(VLOOKUP(W34,'자율관 배정 R1'!$B:$F,3,FALSE)&amp;"("&amp;VLOOKUP(W34,'자율관 배정 R1'!$B:$E,2,FALSE)&amp;")","")</f>
        <v>홍유정(5)</v>
      </c>
      <c r="X35" s="250" t="str">
        <f>IFERROR(VLOOKUP(X34,'자율관 배정 R1'!$B:$F,3,FALSE)&amp;"("&amp;VLOOKUP(X34,'자율관 배정 R1'!$B:$E,2,FALSE)&amp;")","")</f>
        <v>조은진(6)</v>
      </c>
      <c r="Y35" s="244" t="str">
        <f>IFERROR(VLOOKUP(Y34,'자율관 배정 R1'!$B:$F,3,FALSE)&amp;"("&amp;VLOOKUP(Y34,'자율관 배정 R1'!$B:$E,2,FALSE)&amp;")","")</f>
        <v>강희주(6)</v>
      </c>
      <c r="Z35" s="244" t="str">
        <f>IFERROR(VLOOKUP(Z34,'자율관 배정 R1'!$B:$F,3,FALSE)&amp;"("&amp;VLOOKUP(Z34,'자율관 배정 R1'!$B:$E,2,FALSE)&amp;")","")</f>
        <v>최지우(6)</v>
      </c>
      <c r="AA35" s="327"/>
      <c r="AB35" s="244" t="str">
        <f>IFERROR(VLOOKUP(AB34,'자율관 배정 R1'!$B:$F,3,FALSE)&amp;"("&amp;VLOOKUP(AB34,'자율관 배정 R1'!$B:$E,2,FALSE)&amp;")","")</f>
        <v>류영주(7)</v>
      </c>
      <c r="AC35" s="244" t="str">
        <f>IFERROR(VLOOKUP(AC34,'자율관 배정 R1'!$B:$F,3,FALSE)&amp;"("&amp;VLOOKUP(AC34,'자율관 배정 R1'!$B:$E,2,FALSE)&amp;")","")</f>
        <v>권라희(7)</v>
      </c>
      <c r="AD35" s="244" t="str">
        <f>IFERROR(VLOOKUP(AD34,'자율관 배정 R1'!$B:$F,3,FALSE)&amp;"("&amp;VLOOKUP(AD34,'자율관 배정 R1'!$B:$E,2,FALSE)&amp;")","")</f>
        <v>이윤주(7)</v>
      </c>
      <c r="AE35" s="244" t="str">
        <f>IFERROR(VLOOKUP(AE34,'자율관 배정 R1'!$B:$F,3,FALSE)&amp;"("&amp;VLOOKUP(AE34,'자율관 배정 R1'!$B:$E,2,FALSE)&amp;")","")</f>
        <v>김솔(7)</v>
      </c>
      <c r="AF35" s="244" t="str">
        <f>IFERROR(VLOOKUP(AF34,'자율관 배정 R1'!$B:$F,3,FALSE)&amp;"("&amp;VLOOKUP(AF34,'자율관 배정 R1'!$B:$E,2,FALSE)&amp;")","")</f>
        <v>김수빈(8)</v>
      </c>
      <c r="AG35" s="202"/>
      <c r="GX35" s="260"/>
    </row>
    <row r="36" spans="1:206" ht="20.100000000000001" customHeight="1" thickBot="1" x14ac:dyDescent="0.35">
      <c r="A36" s="343"/>
      <c r="B36" s="342"/>
      <c r="C36" s="345" t="str">
        <f>IFERROR(VLOOKUP(A36,'자율관 배정 R1'!$B:$F,7,FALSE)&amp;"","")</f>
        <v/>
      </c>
      <c r="D36" s="327" t="str">
        <f>IFERROR(VLOOKUP(A36,'자율관 배정 R1'!$B:$G,8,FALSE)&amp;"","")</f>
        <v/>
      </c>
      <c r="E36" s="327"/>
      <c r="F36" s="374" t="str">
        <f>IFERROR(VLOOKUP(F34,'자율관 배정 R1'!$B:$F,5,FALSE)&amp;"","")</f>
        <v>EP면학X</v>
      </c>
      <c r="G36" s="374" t="str">
        <f>IFERROR(VLOOKUP(G34,'자율관 배정 R1'!$B:$F,5,FALSE)&amp;"","")</f>
        <v>기숙사</v>
      </c>
      <c r="H36" s="374" t="str">
        <f>IFERROR(VLOOKUP(H34,'자율관 배정 R1'!$B:$F,5,FALSE)&amp;"","")</f>
        <v/>
      </c>
      <c r="I36" s="456"/>
      <c r="J36" s="374" t="str">
        <f>IFERROR(VLOOKUP(J34,'자율관 배정 R1'!$B:$F,5,FALSE)&amp;"","")</f>
        <v>기숙사</v>
      </c>
      <c r="K36" s="374" t="str">
        <f>IFERROR(VLOOKUP(K34,'자율관 배정 R1'!$B:$F,5,FALSE)&amp;"","")</f>
        <v/>
      </c>
      <c r="L36" s="374" t="str">
        <f>IFERROR(VLOOKUP(L34,'자율관 배정 R1'!$B:$F,5,FALSE)&amp;"","")</f>
        <v>기숙사</v>
      </c>
      <c r="M36" s="374" t="str">
        <f>IFERROR(VLOOKUP(M34,'자율관 배정 R1'!$B:$F,5,FALSE)&amp;"","")</f>
        <v/>
      </c>
      <c r="N36" s="374" t="str">
        <f>IFERROR(VLOOKUP(N34,'자율관 배정 R1'!$B:$F,5,FALSE)&amp;"","")</f>
        <v>기숙사</v>
      </c>
      <c r="O36" s="374" t="str">
        <f>IFERROR(VLOOKUP(O34,'자율관 배정 R1'!$B:$F,5,FALSE)&amp;"","")</f>
        <v>EP면학X</v>
      </c>
      <c r="P36" s="338"/>
      <c r="Q36" s="529"/>
      <c r="R36" s="260"/>
      <c r="S36" s="260"/>
      <c r="T36" s="291"/>
      <c r="U36" s="360" t="str">
        <f>IFERROR(VLOOKUP(U34,'자율관 배정 R1'!$B:$F,5,FALSE)&amp;"","")</f>
        <v>EP면학X</v>
      </c>
      <c r="V36" s="360" t="str">
        <f>IFERROR(VLOOKUP(V34,'자율관 배정 R1'!$B:$F,5,FALSE)&amp;"","")</f>
        <v>EP면학X</v>
      </c>
      <c r="W36" s="360" t="str">
        <f>IFERROR(VLOOKUP(W34,'자율관 배정 R1'!$B:$F,5,FALSE)&amp;"","")</f>
        <v>월화수목</v>
      </c>
      <c r="X36" s="360" t="str">
        <f>IFERROR(VLOOKUP(X34,'자율관 배정 R1'!$B:$F,5,FALSE)&amp;"","")</f>
        <v>EP면학X</v>
      </c>
      <c r="Y36" s="360" t="str">
        <f>IFERROR(VLOOKUP(Y34,'자율관 배정 R1'!$B:$F,5,FALSE)&amp;"","")</f>
        <v>월화수목</v>
      </c>
      <c r="Z36" s="360" t="str">
        <f>IFERROR(VLOOKUP(Z34,'자율관 배정 R1'!$B:$F,5,FALSE)&amp;"","")</f>
        <v>EP면학X</v>
      </c>
      <c r="AA36" s="327"/>
      <c r="AB36" s="360" t="str">
        <f>IFERROR(VLOOKUP(AB34,'자율관 배정 R1'!$B:$F,5,FALSE)&amp;"","")</f>
        <v>월화수목</v>
      </c>
      <c r="AC36" s="360" t="str">
        <f>IFERROR(VLOOKUP(AC34,'자율관 배정 R1'!$B:$F,5,FALSE)&amp;"","")</f>
        <v>EP면학X</v>
      </c>
      <c r="AD36" s="360" t="str">
        <f>IFERROR(VLOOKUP(AD34,'자율관 배정 R1'!$B:$F,5,FALSE)&amp;"","")</f>
        <v>기숙사</v>
      </c>
      <c r="AE36" s="360" t="str">
        <f>IFERROR(VLOOKUP(AE34,'자율관 배정 R1'!$B:$F,5,FALSE)&amp;"","")</f>
        <v>EP면학X</v>
      </c>
      <c r="AF36" s="360" t="str">
        <f>IFERROR(VLOOKUP(AF34,'자율관 배정 R1'!$B:$F,5,FALSE)&amp;"","")</f>
        <v>기숙사</v>
      </c>
    </row>
    <row r="37" spans="1:206" ht="20.100000000000001" customHeight="1" thickBot="1" x14ac:dyDescent="0.35">
      <c r="A37" s="343"/>
      <c r="B37" s="342"/>
      <c r="C37" s="345" t="str">
        <f>IFERROR(VLOOKUP(A37,'자율관 배정 R1'!$B:$F,7,FALSE)&amp;"","")</f>
        <v/>
      </c>
      <c r="D37" s="327" t="str">
        <f>IFERROR(VLOOKUP(A37,'자율관 배정 R1'!$B:$G,8,FALSE)&amp;"","")</f>
        <v/>
      </c>
      <c r="E37" s="327"/>
      <c r="F37" s="260"/>
      <c r="G37" s="260"/>
      <c r="H37" s="260"/>
      <c r="I37" s="327"/>
      <c r="J37" s="336"/>
      <c r="K37" s="327"/>
      <c r="L37" s="327"/>
      <c r="M37" s="327"/>
      <c r="N37" s="327"/>
      <c r="O37" s="298"/>
      <c r="P37" s="338"/>
      <c r="Q37" s="530"/>
      <c r="R37" s="260"/>
      <c r="S37" s="260"/>
      <c r="T37" s="291"/>
      <c r="U37" s="305" t="s">
        <v>47</v>
      </c>
      <c r="V37" s="305" t="s">
        <v>48</v>
      </c>
      <c r="W37" s="305" t="s">
        <v>49</v>
      </c>
      <c r="X37" s="305" t="s">
        <v>50</v>
      </c>
      <c r="Y37" s="305" t="s">
        <v>51</v>
      </c>
      <c r="Z37" s="305" t="s">
        <v>52</v>
      </c>
      <c r="AA37" s="327"/>
      <c r="AB37" s="305" t="s">
        <v>53</v>
      </c>
      <c r="AC37" s="336"/>
      <c r="AD37" s="260"/>
      <c r="AE37" s="305" t="s">
        <v>54</v>
      </c>
      <c r="AF37" s="305" t="s">
        <v>55</v>
      </c>
    </row>
    <row r="38" spans="1:206" ht="19.5" customHeight="1" x14ac:dyDescent="0.3">
      <c r="A38" s="343"/>
      <c r="B38" s="342"/>
      <c r="C38" s="345" t="str">
        <f>IFERROR(VLOOKUP(A38,'자율관 배정 R1'!$B:$F,7,FALSE)&amp;"","")</f>
        <v/>
      </c>
      <c r="D38" s="327" t="str">
        <f>IFERROR(VLOOKUP(A38,'자율관 배정 R1'!$B:$G,8,FALSE)&amp;"","")</f>
        <v/>
      </c>
      <c r="E38" s="327"/>
      <c r="F38" s="290" t="s">
        <v>169</v>
      </c>
      <c r="G38" s="290" t="s">
        <v>170</v>
      </c>
      <c r="H38" s="290" t="s">
        <v>171</v>
      </c>
      <c r="I38" s="327"/>
      <c r="J38" s="336"/>
      <c r="K38" s="290" t="s">
        <v>172</v>
      </c>
      <c r="L38" s="290" t="s">
        <v>173</v>
      </c>
      <c r="M38" s="290" t="s">
        <v>174</v>
      </c>
      <c r="N38" s="290" t="s">
        <v>175</v>
      </c>
      <c r="O38" s="298"/>
      <c r="P38" s="338"/>
      <c r="Q38" s="260"/>
      <c r="R38" s="260"/>
      <c r="S38" s="260"/>
      <c r="T38" s="291"/>
      <c r="U38" s="250" t="str">
        <f>IFERROR(VLOOKUP(U37,'자율관 배정 R1'!$B:$F,3,FALSE)&amp;"("&amp;VLOOKUP(U37,'자율관 배정 R1'!$B:$E,2,FALSE)&amp;")","")</f>
        <v>김지예(7)</v>
      </c>
      <c r="V38" s="250" t="str">
        <f>IFERROR(VLOOKUP(V37,'자율관 배정 R1'!$B:$F,3,FALSE)&amp;"("&amp;VLOOKUP(V37,'자율관 배정 R1'!$B:$E,2,FALSE)&amp;")","")</f>
        <v>김하은(8)</v>
      </c>
      <c r="W38" s="250" t="str">
        <f>IFERROR(VLOOKUP(W37,'자율관 배정 R1'!$B:$F,3,FALSE)&amp;"("&amp;VLOOKUP(W37,'자율관 배정 R1'!$B:$E,2,FALSE)&amp;")","")</f>
        <v>박세연(7)</v>
      </c>
      <c r="X38" s="250" t="str">
        <f>IFERROR(VLOOKUP(X37,'자율관 배정 R1'!$B:$F,3,FALSE)&amp;"("&amp;VLOOKUP(X37,'자율관 배정 R1'!$B:$E,2,FALSE)&amp;")","")</f>
        <v>안지현(8)</v>
      </c>
      <c r="Y38" s="250" t="str">
        <f>IFERROR(VLOOKUP(Y37,'자율관 배정 R1'!$B:$F,3,FALSE)&amp;"("&amp;VLOOKUP(Y37,'자율관 배정 R1'!$B:$E,2,FALSE)&amp;")","")</f>
        <v>이다연(7)</v>
      </c>
      <c r="Z38" s="250" t="str">
        <f>IFERROR(VLOOKUP(Z37,'자율관 배정 R1'!$B:$F,3,FALSE)&amp;"("&amp;VLOOKUP(Z37,'자율관 배정 R1'!$B:$E,2,FALSE)&amp;")","")</f>
        <v>양채원(8)</v>
      </c>
      <c r="AA38" s="327"/>
      <c r="AB38" s="250" t="str">
        <f>IFERROR(VLOOKUP(AB37,'자율관 배정 R1'!$B:$F,3,FALSE)&amp;"("&amp;VLOOKUP(AB37,'자율관 배정 R1'!$B:$E,2,FALSE)&amp;")","")</f>
        <v>정혜원(7)</v>
      </c>
      <c r="AC38" s="336"/>
      <c r="AD38" s="260"/>
      <c r="AE38" s="250" t="str">
        <f>IFERROR(VLOOKUP(AE37,'자율관 배정 R1'!$B:$F,3,FALSE)&amp;"("&amp;VLOOKUP(AE37,'자율관 배정 R1'!$B:$E,2,FALSE)&amp;")","")</f>
        <v>장서현(8)</v>
      </c>
      <c r="AF38" s="250" t="str">
        <f>IFERROR(VLOOKUP(AF37,'자율관 배정 R1'!$B:$F,3,FALSE)&amp;"("&amp;VLOOKUP(AF37,'자율관 배정 R1'!$B:$E,2,FALSE)&amp;")","")</f>
        <v>최은서(7)</v>
      </c>
    </row>
    <row r="39" spans="1:206" s="262" customFormat="1" ht="19.5" customHeight="1" thickBot="1" x14ac:dyDescent="0.35">
      <c r="A39" s="343"/>
      <c r="B39" s="342"/>
      <c r="C39" s="345" t="str">
        <f>IFERROR(VLOOKUP(A39,'자율관 배정 R1'!$B:$F,7,FALSE)&amp;"","")</f>
        <v/>
      </c>
      <c r="D39" s="327" t="str">
        <f>IFERROR(VLOOKUP(A39,'자율관 배정 R1'!$B:$G,8,FALSE)&amp;"","")</f>
        <v/>
      </c>
      <c r="E39" s="327"/>
      <c r="F39" s="250" t="str">
        <f>IFERROR(VLOOKUP(F38,'자율관 배정 R1'!$B:$F,3,FALSE)&amp;"("&amp;VLOOKUP(F38,'자율관 배정 R1'!$B:$E,2,FALSE)&amp;")","")</f>
        <v>이송현(6)</v>
      </c>
      <c r="G39" s="250" t="str">
        <f>IFERROR(VLOOKUP(G38,'자율관 배정 R1'!$B:$F,3,FALSE)&amp;"("&amp;VLOOKUP(G38,'자율관 배정 R1'!$B:$E,2,FALSE)&amp;")","")</f>
        <v>()</v>
      </c>
      <c r="H39" s="250" t="str">
        <f>IFERROR(VLOOKUP(H38,'자율관 배정 R1'!$B:$F,3,FALSE)&amp;"("&amp;VLOOKUP(H38,'자율관 배정 R1'!$B:$E,2,FALSE)&amp;")","")</f>
        <v>오민석(6)</v>
      </c>
      <c r="I39" s="327"/>
      <c r="J39" s="336"/>
      <c r="K39" s="250" t="str">
        <f>IFERROR(VLOOKUP(K38,'자율관 배정 R1'!$B:$F,3,FALSE)&amp;"("&amp;VLOOKUP(K38,'자율관 배정 R1'!$B:$E,2,FALSE)&amp;")","")</f>
        <v>장민훈(7)</v>
      </c>
      <c r="L39" s="250" t="str">
        <f>IFERROR(VLOOKUP(L38,'자율관 배정 R1'!$B:$F,3,FALSE)&amp;"("&amp;VLOOKUP(L38,'자율관 배정 R1'!$B:$E,2,FALSE)&amp;")","")</f>
        <v>신현서(6)</v>
      </c>
      <c r="M39" s="250" t="str">
        <f>IFERROR(VLOOKUP(M38,'자율관 배정 R1'!$B:$F,3,FALSE)&amp;"("&amp;VLOOKUP(M38,'자율관 배정 R1'!$B:$E,2,FALSE)&amp;")","")</f>
        <v>()</v>
      </c>
      <c r="N39" s="250" t="str">
        <f>IFERROR(VLOOKUP(N38,'자율관 배정 R1'!$B:$F,3,FALSE)&amp;"("&amp;VLOOKUP(N38,'자율관 배정 R1'!$B:$E,2,FALSE)&amp;")","")</f>
        <v>손이동(6)</v>
      </c>
      <c r="O39" s="298"/>
      <c r="P39" s="338"/>
      <c r="Q39" s="291"/>
      <c r="R39" s="291"/>
      <c r="S39" s="291"/>
      <c r="T39" s="291"/>
      <c r="U39" s="360" t="str">
        <f>IFERROR(VLOOKUP(U37,'자율관 배정 R1'!$B:$F,5,FALSE)&amp;"","")</f>
        <v>EP면학X</v>
      </c>
      <c r="V39" s="360" t="str">
        <f>IFERROR(VLOOKUP(V37,'자율관 배정 R1'!$B:$F,5,FALSE)&amp;"","")</f>
        <v>기숙사</v>
      </c>
      <c r="W39" s="360" t="str">
        <f>IFERROR(VLOOKUP(W37,'자율관 배정 R1'!$B:$F,5,FALSE)&amp;"","")</f>
        <v>EP면학X</v>
      </c>
      <c r="X39" s="360" t="str">
        <f>IFERROR(VLOOKUP(X37,'자율관 배정 R1'!$B:$F,5,FALSE)&amp;"","")</f>
        <v>EP면학X</v>
      </c>
      <c r="Y39" s="360" t="str">
        <f>IFERROR(VLOOKUP(Y37,'자율관 배정 R1'!$B:$F,5,FALSE)&amp;"","")</f>
        <v>화수목</v>
      </c>
      <c r="Z39" s="360" t="str">
        <f>IFERROR(VLOOKUP(Z37,'자율관 배정 R1'!$B:$F,5,FALSE)&amp;"","")</f>
        <v>기숙사</v>
      </c>
      <c r="AA39" s="327"/>
      <c r="AB39" s="360" t="str">
        <f>IFERROR(VLOOKUP(AB37,'자율관 배정 R1'!$B:$F,5,FALSE)&amp;"","")</f>
        <v>EP면학X</v>
      </c>
      <c r="AC39" s="336"/>
      <c r="AD39" s="260"/>
      <c r="AE39" s="360" t="str">
        <f>IFERROR(VLOOKUP(AE37,'자율관 배정 R1'!$B:$F,5,FALSE)&amp;"","")</f>
        <v>기숙사</v>
      </c>
      <c r="AF39" s="360" t="str">
        <f>IFERROR(VLOOKUP(AF37,'자율관 배정 R1'!$B:$F,5,FALSE)&amp;"","")</f>
        <v>EP면학X</v>
      </c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  <c r="BP39" s="260"/>
      <c r="BQ39" s="260"/>
      <c r="BR39" s="260"/>
      <c r="BS39" s="260"/>
      <c r="BT39" s="260"/>
      <c r="BU39" s="260"/>
      <c r="BV39" s="260"/>
      <c r="BW39" s="260"/>
      <c r="BX39" s="260"/>
      <c r="BY39" s="260"/>
      <c r="BZ39" s="260"/>
      <c r="CA39" s="260"/>
      <c r="CB39" s="260"/>
      <c r="CC39" s="260"/>
      <c r="CD39" s="260"/>
      <c r="CE39" s="260"/>
      <c r="CF39" s="260"/>
      <c r="CG39" s="260"/>
      <c r="CH39" s="260"/>
      <c r="CI39" s="260"/>
      <c r="CJ39" s="260"/>
      <c r="CK39" s="260"/>
      <c r="CL39" s="260"/>
      <c r="CM39" s="260"/>
      <c r="CN39" s="260"/>
      <c r="CO39" s="260"/>
      <c r="CP39" s="260"/>
      <c r="CQ39" s="260"/>
      <c r="CR39" s="260"/>
      <c r="CS39" s="260"/>
      <c r="CT39" s="260"/>
      <c r="CU39" s="260"/>
      <c r="CV39" s="260"/>
      <c r="CW39" s="260"/>
      <c r="CX39" s="260"/>
      <c r="CY39" s="260"/>
      <c r="CZ39" s="260"/>
      <c r="DA39" s="260"/>
      <c r="DB39" s="260"/>
      <c r="DC39" s="260"/>
      <c r="DD39" s="260"/>
      <c r="DE39" s="260"/>
      <c r="DF39" s="260"/>
      <c r="DG39" s="260"/>
      <c r="DH39" s="260"/>
      <c r="DI39" s="260"/>
      <c r="DJ39" s="260"/>
      <c r="DK39" s="260"/>
      <c r="DL39" s="260"/>
      <c r="DM39" s="260"/>
      <c r="DN39" s="260"/>
      <c r="DO39" s="260"/>
      <c r="DP39" s="260"/>
      <c r="DQ39" s="260"/>
      <c r="DR39" s="260"/>
      <c r="DS39" s="260"/>
      <c r="DT39" s="260"/>
      <c r="DU39" s="260"/>
      <c r="DV39" s="260"/>
      <c r="DW39" s="260"/>
      <c r="DX39" s="260"/>
      <c r="DY39" s="260"/>
      <c r="DZ39" s="260"/>
      <c r="EA39" s="260"/>
      <c r="EB39" s="260"/>
      <c r="EC39" s="260"/>
      <c r="ED39" s="260"/>
      <c r="EE39" s="260"/>
      <c r="EF39" s="260"/>
      <c r="EG39" s="260"/>
      <c r="EH39" s="260"/>
      <c r="EI39" s="260"/>
      <c r="EJ39" s="260"/>
      <c r="EK39" s="260"/>
      <c r="EL39" s="260"/>
      <c r="EM39" s="260"/>
      <c r="EN39" s="260"/>
      <c r="EO39" s="260"/>
      <c r="EP39" s="260"/>
      <c r="EQ39" s="260"/>
      <c r="ER39" s="260"/>
      <c r="ES39" s="260"/>
      <c r="ET39" s="260"/>
      <c r="EU39" s="260"/>
      <c r="EV39" s="260"/>
      <c r="EW39" s="260"/>
      <c r="EX39" s="260"/>
      <c r="EY39" s="260"/>
      <c r="EZ39" s="260"/>
      <c r="FA39" s="260"/>
      <c r="FB39" s="260"/>
      <c r="FC39" s="260"/>
      <c r="FD39" s="260"/>
      <c r="FE39" s="260"/>
      <c r="FF39" s="260"/>
      <c r="FG39" s="260"/>
      <c r="FH39" s="260"/>
      <c r="FI39" s="260"/>
      <c r="FJ39" s="260"/>
      <c r="FK39" s="260"/>
      <c r="FL39" s="260"/>
      <c r="FM39" s="260"/>
      <c r="FN39" s="260"/>
      <c r="FO39" s="260"/>
      <c r="FP39" s="260"/>
      <c r="FQ39" s="260"/>
      <c r="FR39" s="260"/>
      <c r="FS39" s="260"/>
      <c r="FT39" s="260"/>
      <c r="FU39" s="260"/>
      <c r="FV39" s="260"/>
      <c r="FW39" s="260"/>
      <c r="FX39" s="260"/>
      <c r="FY39" s="260"/>
      <c r="FZ39" s="260"/>
      <c r="GA39" s="260"/>
      <c r="GB39" s="260"/>
      <c r="GC39" s="260"/>
      <c r="GD39" s="260"/>
      <c r="GE39" s="260"/>
      <c r="GF39" s="260"/>
      <c r="GG39" s="260"/>
      <c r="GH39" s="260"/>
      <c r="GI39" s="260"/>
      <c r="GJ39" s="260"/>
      <c r="GK39" s="260"/>
      <c r="GL39" s="260"/>
      <c r="GM39" s="260"/>
      <c r="GN39" s="260"/>
      <c r="GO39" s="260"/>
      <c r="GP39" s="260"/>
      <c r="GQ39" s="260"/>
      <c r="GR39" s="260"/>
      <c r="GS39" s="260"/>
      <c r="GT39" s="260"/>
      <c r="GU39" s="260"/>
      <c r="GV39" s="260"/>
      <c r="GW39" s="260"/>
    </row>
    <row r="40" spans="1:206" ht="20.100000000000001" customHeight="1" thickBot="1" x14ac:dyDescent="0.35">
      <c r="A40" s="299"/>
      <c r="B40" s="242"/>
      <c r="C40" s="345" t="str">
        <f>IFERROR(VLOOKUP(A40,'자율관 배정 R1'!$B:$F,7,FALSE)&amp;"","")</f>
        <v/>
      </c>
      <c r="D40" s="327" t="str">
        <f>IFERROR(VLOOKUP(A40,'자율관 배정 R1'!$B:$G,8,FALSE)&amp;"","")</f>
        <v/>
      </c>
      <c r="E40" s="327"/>
      <c r="F40" s="374" t="str">
        <f>IFERROR(VLOOKUP(F38,'자율관 배정 R1'!$B:$F,5,FALSE)&amp;"","")</f>
        <v>기숙사</v>
      </c>
      <c r="G40" s="374" t="str">
        <f>IFERROR(VLOOKUP(G38,'자율관 배정 R1'!$B:$F,5,FALSE)&amp;"","")</f>
        <v/>
      </c>
      <c r="H40" s="374" t="str">
        <f>IFERROR(VLOOKUP(H38,'자율관 배정 R1'!$B:$F,5,FALSE)&amp;"","")</f>
        <v>기숙사</v>
      </c>
      <c r="I40" s="327"/>
      <c r="J40" s="336"/>
      <c r="K40" s="361" t="str">
        <f>IFERROR(VLOOKUP(K38,'자율관 배정 R1'!$B:$F,5,FALSE)&amp;"","")</f>
        <v>EP면학X</v>
      </c>
      <c r="L40" s="361" t="str">
        <f>IFERROR(VLOOKUP(L38,'자율관 배정 R1'!$B:$F,5,FALSE)&amp;"","")</f>
        <v>월화수목</v>
      </c>
      <c r="M40" s="361" t="str">
        <f>IFERROR(VLOOKUP(M38,'자율관 배정 R1'!$B:$F,5,FALSE)&amp;"","")</f>
        <v/>
      </c>
      <c r="N40" s="361" t="str">
        <f>IFERROR(VLOOKUP(N38,'자율관 배정 R1'!$B:$F,5,FALSE)&amp;"","")</f>
        <v>EP면학X</v>
      </c>
      <c r="O40" s="298"/>
      <c r="P40" s="338"/>
      <c r="Q40" s="291"/>
      <c r="R40" s="291"/>
      <c r="S40" s="291"/>
      <c r="T40" s="277"/>
      <c r="U40" s="310"/>
      <c r="V40" s="260"/>
      <c r="W40" s="260"/>
      <c r="X40" s="260"/>
      <c r="Y40" s="260"/>
      <c r="Z40" s="260"/>
      <c r="AA40" s="260"/>
      <c r="AB40" s="260"/>
      <c r="AC40" s="336"/>
      <c r="AD40" s="260"/>
      <c r="AE40" s="260"/>
      <c r="AF40" s="457"/>
    </row>
    <row r="41" spans="1:206" ht="19.5" customHeight="1" thickBot="1" x14ac:dyDescent="0.35">
      <c r="A41" s="299"/>
      <c r="B41" s="242"/>
      <c r="C41" s="345" t="str">
        <f>IFERROR(VLOOKUP(A41,'자율관 배정 R1'!$B:$F,7,FALSE)&amp;"","")</f>
        <v/>
      </c>
      <c r="D41" s="327" t="str">
        <f>IFERROR(VLOOKUP(A41,'자율관 배정 R1'!$B:$G,8,FALSE)&amp;"","")</f>
        <v/>
      </c>
      <c r="E41" s="327"/>
      <c r="F41" s="290" t="s">
        <v>176</v>
      </c>
      <c r="G41" s="290" t="s">
        <v>177</v>
      </c>
      <c r="H41" s="290" t="s">
        <v>178</v>
      </c>
      <c r="I41" s="327"/>
      <c r="J41" s="327"/>
      <c r="K41" s="290" t="s">
        <v>179</v>
      </c>
      <c r="L41" s="290" t="s">
        <v>180</v>
      </c>
      <c r="M41" s="290" t="s">
        <v>181</v>
      </c>
      <c r="N41" s="369" t="s">
        <v>182</v>
      </c>
      <c r="O41" s="298"/>
      <c r="P41" s="338"/>
      <c r="Q41" s="291"/>
      <c r="R41" s="291"/>
      <c r="S41" s="291"/>
      <c r="T41" s="277"/>
      <c r="U41" s="302" t="s">
        <v>56</v>
      </c>
      <c r="V41" s="302" t="s">
        <v>57</v>
      </c>
      <c r="W41" s="302" t="s">
        <v>58</v>
      </c>
      <c r="X41" s="302" t="s">
        <v>59</v>
      </c>
      <c r="Y41" s="302" t="s">
        <v>60</v>
      </c>
      <c r="Z41" s="302" t="s">
        <v>61</v>
      </c>
      <c r="AA41" s="260"/>
      <c r="AB41" s="302" t="s">
        <v>62</v>
      </c>
      <c r="AC41" s="302" t="s">
        <v>63</v>
      </c>
      <c r="AD41" s="302" t="s">
        <v>64</v>
      </c>
      <c r="AE41" s="302" t="s">
        <v>65</v>
      </c>
      <c r="AF41" s="302" t="s">
        <v>66</v>
      </c>
    </row>
    <row r="42" spans="1:206" ht="20.100000000000001" customHeight="1" x14ac:dyDescent="0.3">
      <c r="A42" s="299"/>
      <c r="B42" s="242"/>
      <c r="C42" s="345" t="str">
        <f>IFERROR(VLOOKUP(A42,'자율관 배정 R1'!$B:$F,7,FALSE)&amp;"","")</f>
        <v/>
      </c>
      <c r="D42" s="327" t="str">
        <f>IFERROR(VLOOKUP(A42,'자율관 배정 R1'!$B:$G,8,FALSE)&amp;"","")</f>
        <v/>
      </c>
      <c r="E42" s="327"/>
      <c r="F42" s="250" t="str">
        <f>IFERROR(VLOOKUP(F41,'자율관 배정 R1'!$B:$F,3,FALSE)&amp;"("&amp;VLOOKUP(F41,'자율관 배정 R1'!$B:$E,2,FALSE)&amp;")","")</f>
        <v>박상훈(7)</v>
      </c>
      <c r="G42" s="244" t="str">
        <f>IFERROR(VLOOKUP(G41,'자율관 배정 R1'!$B:$F,3,FALSE)&amp;"("&amp;VLOOKUP(G41,'자율관 배정 R1'!$B:$E,2,FALSE)&amp;")","")</f>
        <v>방재원(6)</v>
      </c>
      <c r="H42" s="250" t="str">
        <f>IFERROR(VLOOKUP(H41,'자율관 배정 R1'!$B:$F,3,FALSE)&amp;"("&amp;VLOOKUP(H41,'자율관 배정 R1'!$B:$E,2,FALSE)&amp;")","")</f>
        <v>()</v>
      </c>
      <c r="I42" s="327"/>
      <c r="J42" s="327"/>
      <c r="K42" s="244" t="str">
        <f>IFERROR(VLOOKUP(K41,'자율관 배정 R1'!$B:$F,3,FALSE)&amp;"("&amp;VLOOKUP(K41,'자율관 배정 R1'!$B:$E,2,FALSE)&amp;")","")</f>
        <v>김형우(6)</v>
      </c>
      <c r="L42" s="244" t="str">
        <f>IFERROR(VLOOKUP(L41,'자율관 배정 R1'!$B:$F,3,FALSE)&amp;"("&amp;VLOOKUP(L41,'자율관 배정 R1'!$B:$E,2,FALSE)&amp;")","")</f>
        <v>()</v>
      </c>
      <c r="M42" s="244" t="str">
        <f>IFERROR(VLOOKUP(M41,'자율관 배정 R1'!$B:$F,3,FALSE)&amp;"("&amp;VLOOKUP(M41,'자율관 배정 R1'!$B:$E,2,FALSE)&amp;")","")</f>
        <v>주한재(5)</v>
      </c>
      <c r="N42" s="363" t="str">
        <f>IFERROR(VLOOKUP(N41,'자율관 배정 R1'!$B:$F,3,FALSE)&amp;"("&amp;VLOOKUP(N41,'자율관 배정 R1'!$B:$E,2,FALSE)&amp;")","")</f>
        <v>국건(7)</v>
      </c>
      <c r="O42" s="304"/>
      <c r="P42" s="338"/>
      <c r="Q42" s="291"/>
      <c r="R42" s="291"/>
      <c r="S42" s="291"/>
      <c r="T42" s="277"/>
      <c r="U42" s="354" t="str">
        <f>IFERROR(VLOOKUP(U41,'자율관 배정 R1'!$B:$F,3,FALSE)&amp;"("&amp;VLOOKUP(U41,'자율관 배정 R1'!$B:$E,2,FALSE)&amp;")","")</f>
        <v>조윤서(8)</v>
      </c>
      <c r="V42" s="354" t="str">
        <f>IFERROR(VLOOKUP(V41,'자율관 배정 R1'!$B:$F,3,FALSE)&amp;"("&amp;VLOOKUP(V41,'자율관 배정 R1'!$B:$E,2,FALSE)&amp;")","")</f>
        <v>김민경(8)</v>
      </c>
      <c r="W42" s="354" t="str">
        <f>IFERROR(VLOOKUP(W41,'자율관 배정 R1'!$B:$F,3,FALSE)&amp;"("&amp;VLOOKUP(W41,'자율관 배정 R1'!$B:$E,2,FALSE)&amp;")","")</f>
        <v>강민영(9)</v>
      </c>
      <c r="X42" s="354" t="str">
        <f>IFERROR(VLOOKUP(X41,'자율관 배정 R1'!$B:$F,3,FALSE)&amp;"("&amp;VLOOKUP(X41,'자율관 배정 R1'!$B:$E,2,FALSE)&amp;")","")</f>
        <v>이다연(8)</v>
      </c>
      <c r="Y42" s="354" t="str">
        <f>IFERROR(VLOOKUP(Y41,'자율관 배정 R1'!$B:$F,3,FALSE)&amp;"("&amp;VLOOKUP(Y41,'자율관 배정 R1'!$B:$E,2,FALSE)&amp;")","")</f>
        <v>김가현(9)</v>
      </c>
      <c r="Z42" s="354" t="str">
        <f>IFERROR(VLOOKUP(Z41,'자율관 배정 R1'!$B:$F,3,FALSE)&amp;"("&amp;VLOOKUP(Z41,'자율관 배정 R1'!$B:$E,2,FALSE)&amp;")","")</f>
        <v>임은우(8)</v>
      </c>
      <c r="AA42" s="260"/>
      <c r="AB42" s="461" t="str">
        <f>IFERROR(VLOOKUP(AB41,'자율관 배정 R1'!$B:$F,3,FALSE)&amp;"("&amp;VLOOKUP(AB41,'자율관 배정 R1'!$B:$E,2,FALSE)&amp;")","")</f>
        <v>김나연(9)</v>
      </c>
      <c r="AC42" s="464" t="str">
        <f>IFERROR(VLOOKUP(AC41,'자율관 배정 R1'!$B:$F,3,FALSE)&amp;"("&amp;VLOOKUP(AC41,'자율관 배정 R1'!$B:$E,2,FALSE)&amp;")","")</f>
        <v>정연수(8)</v>
      </c>
      <c r="AD42" s="464" t="str">
        <f>IFERROR(VLOOKUP(AD41,'자율관 배정 R1'!$B:$F,3,FALSE)&amp;"("&amp;VLOOKUP(AD41,'자율관 배정 R1'!$B:$E,2,FALSE)&amp;")","")</f>
        <v>서아윤(9)</v>
      </c>
      <c r="AE42" s="464" t="str">
        <f>IFERROR(VLOOKUP(AE41,'자율관 배정 R1'!$B:$F,3,FALSE)&amp;"("&amp;VLOOKUP(AE41,'자율관 배정 R1'!$B:$E,2,FALSE)&amp;")","")</f>
        <v>한서연(8)</v>
      </c>
      <c r="AF42" s="464" t="str">
        <f>IFERROR(VLOOKUP(AF41,'자율관 배정 R1'!$B:$F,3,FALSE)&amp;"("&amp;VLOOKUP(AF41,'자율관 배정 R1'!$B:$E,2,FALSE)&amp;")","")</f>
        <v>송연지(9)</v>
      </c>
    </row>
    <row r="43" spans="1:206" ht="20.100000000000001" customHeight="1" thickBot="1" x14ac:dyDescent="0.35">
      <c r="A43" s="310"/>
      <c r="B43" s="260"/>
      <c r="C43" s="345" t="str">
        <f>IFERROR(VLOOKUP(A43,'자율관 배정 R1'!$B:$F,7,FALSE)&amp;"","")</f>
        <v/>
      </c>
      <c r="D43" s="327" t="str">
        <f>IFERROR(VLOOKUP(A43,'자율관 배정 R1'!$B:$G,8,FALSE)&amp;"","")</f>
        <v/>
      </c>
      <c r="E43" s="327"/>
      <c r="F43" s="374" t="str">
        <f>IFERROR(VLOOKUP(F41,'자율관 배정 R1'!$B:$F,5,FALSE)&amp;"","")</f>
        <v>월화수목</v>
      </c>
      <c r="G43" s="375" t="str">
        <f>IFERROR(VLOOKUP(G41,'자율관 배정 R1'!$B:$F,5,FALSE)&amp;"","")</f>
        <v>기숙사</v>
      </c>
      <c r="H43" s="374" t="str">
        <f>IFERROR(VLOOKUP(H41,'자율관 배정 R1'!$B:$F,5,FALSE)&amp;"","")</f>
        <v/>
      </c>
      <c r="I43" s="327"/>
      <c r="J43" s="327"/>
      <c r="K43" s="375" t="str">
        <f>IFERROR(VLOOKUP(K41,'자율관 배정 R1'!$B:$F,5,FALSE)&amp;"","")</f>
        <v>월화수목</v>
      </c>
      <c r="L43" s="375" t="str">
        <f>IFERROR(VLOOKUP(L41,'자율관 배정 R1'!$B:$F,5,FALSE)&amp;"","")</f>
        <v/>
      </c>
      <c r="M43" s="375" t="str">
        <f>IFERROR(VLOOKUP(M41,'자율관 배정 R1'!$B:$F,5,FALSE)&amp;"","")</f>
        <v>기숙사</v>
      </c>
      <c r="N43" s="375" t="str">
        <f>IFERROR(VLOOKUP(N41,'자율관 배정 R1'!$B:$F,5,FALSE)&amp;"","")</f>
        <v>EP면학X</v>
      </c>
      <c r="O43" s="298"/>
      <c r="P43" s="338"/>
      <c r="Q43" s="291"/>
      <c r="R43" s="291"/>
      <c r="S43" s="291"/>
      <c r="T43" s="291"/>
      <c r="U43" s="360" t="str">
        <f>IFERROR(VLOOKUP(U41,'자율관 배정 R1'!$B:$F,5,FALSE)&amp;"","")</f>
        <v>월화수목</v>
      </c>
      <c r="V43" s="360" t="str">
        <f>IFERROR(VLOOKUP(V41,'자율관 배정 R1'!$B:$F,5,FALSE)&amp;"","")</f>
        <v>EP면학X</v>
      </c>
      <c r="W43" s="360" t="str">
        <f>IFERROR(VLOOKUP(W41,'자율관 배정 R1'!$B:$F,5,FALSE)&amp;"","")</f>
        <v>기숙사</v>
      </c>
      <c r="X43" s="360" t="str">
        <f>IFERROR(VLOOKUP(X41,'자율관 배정 R1'!$B:$F,5,FALSE)&amp;"","")</f>
        <v>EP면학X</v>
      </c>
      <c r="Y43" s="360" t="str">
        <f>IFERROR(VLOOKUP(Y41,'자율관 배정 R1'!$B:$F,5,FALSE)&amp;"","")</f>
        <v>기숙사</v>
      </c>
      <c r="Z43" s="360" t="str">
        <f>IFERROR(VLOOKUP(Z41,'자율관 배정 R1'!$B:$F,5,FALSE)&amp;"","")</f>
        <v>EP면학X</v>
      </c>
      <c r="AA43" s="260"/>
      <c r="AB43" s="357" t="str">
        <f>IFERROR(VLOOKUP(AB41,'자율관 배정 R1'!$B:$F,5,FALSE)&amp;"","")</f>
        <v>기숙사</v>
      </c>
      <c r="AC43" s="465" t="str">
        <f>IFERROR(VLOOKUP(AC41,'자율관 배정 R1'!$B:$F,5,FALSE)&amp;"","")</f>
        <v>EP면학X</v>
      </c>
      <c r="AD43" s="465" t="str">
        <f>IFERROR(VLOOKUP(AD41,'자율관 배정 R1'!$B:$F,5,FALSE)&amp;"","")</f>
        <v>월화수목</v>
      </c>
      <c r="AE43" s="465" t="str">
        <f>IFERROR(VLOOKUP(AE41,'자율관 배정 R1'!$B:$F,5,FALSE)&amp;"","")</f>
        <v>EP면학X</v>
      </c>
      <c r="AF43" s="465" t="str">
        <f>IFERROR(VLOOKUP(AF41,'자율관 배정 R1'!$B:$F,5,FALSE)&amp;"","")</f>
        <v>EP면학X</v>
      </c>
    </row>
    <row r="44" spans="1:206" ht="20.100000000000001" customHeight="1" thickBot="1" x14ac:dyDescent="0.35">
      <c r="A44" s="310"/>
      <c r="B44" s="260"/>
      <c r="C44" s="345" t="str">
        <f>IFERROR(VLOOKUP(A44,'자율관 배정 R1'!$B:$F,7,FALSE)&amp;"","")</f>
        <v/>
      </c>
      <c r="D44" s="327" t="str">
        <f>IFERROR(VLOOKUP(A44,'자율관 배정 R1'!$B:$G,8,FALSE)&amp;"","")</f>
        <v/>
      </c>
      <c r="E44" s="327"/>
      <c r="F44" s="301"/>
      <c r="G44" s="301"/>
      <c r="H44" s="301"/>
      <c r="I44" s="327"/>
      <c r="J44" s="327"/>
      <c r="K44" s="260"/>
      <c r="L44" s="260"/>
      <c r="M44" s="260"/>
      <c r="N44" s="260"/>
      <c r="O44" s="298"/>
      <c r="P44" s="303"/>
      <c r="Q44" s="291"/>
      <c r="R44" s="291"/>
      <c r="S44" s="291"/>
      <c r="T44" s="291"/>
      <c r="U44" s="305" t="s">
        <v>67</v>
      </c>
      <c r="V44" s="305" t="s">
        <v>68</v>
      </c>
      <c r="W44" s="305" t="s">
        <v>69</v>
      </c>
      <c r="X44" s="305" t="s">
        <v>70</v>
      </c>
      <c r="Y44" s="305" t="s">
        <v>71</v>
      </c>
      <c r="Z44" s="362" t="s">
        <v>72</v>
      </c>
      <c r="AA44" s="260"/>
      <c r="AB44" s="306" t="s">
        <v>73</v>
      </c>
      <c r="AC44" s="296" t="s">
        <v>74</v>
      </c>
      <c r="AD44" s="462" t="s">
        <v>75</v>
      </c>
      <c r="AE44" s="296" t="s">
        <v>76</v>
      </c>
      <c r="AF44" s="463" t="s">
        <v>77</v>
      </c>
    </row>
    <row r="45" spans="1:206" ht="20.100000000000001" customHeight="1" thickBot="1" x14ac:dyDescent="0.35">
      <c r="A45" s="289" t="s">
        <v>1451</v>
      </c>
      <c r="B45" s="249" t="str">
        <f>IFERROR(VLOOKUP(A45,'자율관 배정 R1'!$B:$F,3,FALSE)&amp;"("&amp;VLOOKUP(A45,'자율관 배정 R1'!$B:$E,2,FALSE)&amp;")","")</f>
        <v>김재웅(12)</v>
      </c>
      <c r="C45" s="384" t="str">
        <f>IFERROR(VLOOKUP(A45,'자율관 배정 R1'!$B:$F,5,FALSE)&amp;"","")</f>
        <v>기숙사</v>
      </c>
      <c r="D45" s="327" t="str">
        <f>IFERROR(VLOOKUP(A45,'자율관 배정 R1'!$B:$G,8,FALSE)&amp;"","")</f>
        <v/>
      </c>
      <c r="E45" s="327"/>
      <c r="F45" s="289" t="s">
        <v>1441</v>
      </c>
      <c r="G45" s="290" t="s">
        <v>1440</v>
      </c>
      <c r="H45" s="369" t="s">
        <v>1439</v>
      </c>
      <c r="I45" s="336"/>
      <c r="J45" s="327"/>
      <c r="K45" s="260"/>
      <c r="L45" s="260"/>
      <c r="M45" s="260"/>
      <c r="N45" s="260"/>
      <c r="O45" s="304"/>
      <c r="P45" s="303"/>
      <c r="Q45" s="291"/>
      <c r="R45" s="291"/>
      <c r="S45" s="291"/>
      <c r="T45" s="277"/>
      <c r="U45" s="250" t="str">
        <f>IFERROR(VLOOKUP(U44,'자율관 배정 R1'!$B:$F,3,FALSE)&amp;"("&amp;VLOOKUP(U44,'자율관 배정 R1'!$B:$E,2,FALSE)&amp;")","")</f>
        <v>권은진(9)</v>
      </c>
      <c r="V45" s="250" t="str">
        <f>IFERROR(VLOOKUP(V44,'자율관 배정 R1'!$B:$F,3,FALSE)&amp;"("&amp;VLOOKUP(V44,'자율관 배정 R1'!$B:$E,2,FALSE)&amp;")","")</f>
        <v>김민겸(10)</v>
      </c>
      <c r="W45" s="250" t="str">
        <f>IFERROR(VLOOKUP(W44,'자율관 배정 R1'!$B:$F,3,FALSE)&amp;"("&amp;VLOOKUP(W44,'자율관 배정 R1'!$B:$E,2,FALSE)&amp;")","")</f>
        <v>김나연(9)</v>
      </c>
      <c r="X45" s="250" t="str">
        <f>IFERROR(VLOOKUP(X44,'자율관 배정 R1'!$B:$F,3,FALSE)&amp;"("&amp;VLOOKUP(X44,'자율관 배정 R1'!$B:$E,2,FALSE)&amp;")","")</f>
        <v>김민서(10)</v>
      </c>
      <c r="Y45" s="250" t="str">
        <f>IFERROR(VLOOKUP(Y44,'자율관 배정 R1'!$B:$F,3,FALSE)&amp;"("&amp;VLOOKUP(Y44,'자율관 배정 R1'!$B:$E,2,FALSE)&amp;")","")</f>
        <v>김민지(9)</v>
      </c>
      <c r="Z45" s="365" t="str">
        <f>IFERROR(VLOOKUP(Z44,'자율관 배정 R1'!$B:$F,3,FALSE)&amp;"("&amp;VLOOKUP(Z44,'자율관 배정 R1'!$B:$E,2,FALSE)&amp;")","")</f>
        <v>박주원(10)</v>
      </c>
      <c r="AA45" s="260"/>
      <c r="AB45" s="355" t="str">
        <f>IFERROR(VLOOKUP(AB44,'자율관 배정 R1'!$B:$F,3,FALSE)&amp;"("&amp;VLOOKUP(AB44,'자율관 배정 R1'!$B:$E,2,FALSE)&amp;")","")</f>
        <v>김온유(9)</v>
      </c>
      <c r="AC45" s="250" t="str">
        <f>IFERROR(VLOOKUP(AC44,'자율관 배정 R1'!$B:$F,3,FALSE)&amp;"("&amp;VLOOKUP(AC44,'자율관 배정 R1'!$B:$E,2,FALSE)&amp;")","")</f>
        <v>유윤지(10)</v>
      </c>
      <c r="AD45" s="367" t="str">
        <f>IFERROR(VLOOKUP(AD44,'자율관 배정 R1'!$B:$F,3,FALSE)&amp;"("&amp;VLOOKUP(AD44,'자율관 배정 R1'!$B:$E,2,FALSE)&amp;")","")</f>
        <v>김하랑(9)</v>
      </c>
      <c r="AE45" s="250" t="str">
        <f>IFERROR(VLOOKUP(AE44,'자율관 배정 R1'!$B:$F,3,FALSE)&amp;"("&amp;VLOOKUP(AE44,'자율관 배정 R1'!$B:$E,2,FALSE)&amp;")","")</f>
        <v>윤수빈(10)</v>
      </c>
      <c r="AF45" s="365" t="str">
        <f>IFERROR(VLOOKUP(AF44,'자율관 배정 R1'!$B:$F,3,FALSE)&amp;"("&amp;VLOOKUP(AF44,'자율관 배정 R1'!$B:$E,2,FALSE)&amp;")","")</f>
        <v>백시윤(9)</v>
      </c>
    </row>
    <row r="46" spans="1:206" ht="19.5" customHeight="1" thickBot="1" x14ac:dyDescent="0.35">
      <c r="A46" s="294" t="s">
        <v>1416</v>
      </c>
      <c r="B46" s="249" t="str">
        <f>IFERROR(VLOOKUP(A46,'자율관 배정 R1'!$B:$F,3,FALSE)&amp;"("&amp;VLOOKUP(A46,'자율관 배정 R1'!$B:$E,2,FALSE)&amp;")","")</f>
        <v>장성현(10)</v>
      </c>
      <c r="C46" s="384" t="str">
        <f>IFERROR(VLOOKUP(A46,'자율관 배정 R1'!$B:$F,5,FALSE)&amp;"","")</f>
        <v>EP면학X</v>
      </c>
      <c r="D46" s="327" t="str">
        <f>IFERROR(VLOOKUP(A46,'자율관 배정 R1'!$B:$G,8,FALSE)&amp;"","")</f>
        <v/>
      </c>
      <c r="E46" s="337"/>
      <c r="F46" s="378" t="str">
        <f>IFERROR(VLOOKUP(F45,'자율관 배정 R1'!$B:$F,3,FALSE)&amp;"("&amp;VLOOKUP(F45,'자율관 배정 R1'!$B:$E,2,FALSE)&amp;")","")</f>
        <v>이호찬(5)</v>
      </c>
      <c r="G46" s="379" t="str">
        <f>IFERROR(VLOOKUP(G45,'자율관 배정 R1'!$B:$F,3,FALSE)&amp;"("&amp;VLOOKUP(G45,'자율관 배정 R1'!$B:$E,2,FALSE)&amp;")","")</f>
        <v>()</v>
      </c>
      <c r="H46" s="380" t="str">
        <f>IFERROR(VLOOKUP(H45,'자율관 배정 R1'!$B:$F,3,FALSE)&amp;"("&amp;VLOOKUP(H45,'자율관 배정 R1'!$B:$E,2,FALSE)&amp;")","")</f>
        <v>이예찬(5)</v>
      </c>
      <c r="I46" s="336"/>
      <c r="J46" s="336"/>
      <c r="K46" s="336"/>
      <c r="L46" s="336"/>
      <c r="M46" s="336"/>
      <c r="N46" s="336"/>
      <c r="O46" s="301"/>
      <c r="P46" s="297"/>
      <c r="Q46" s="291"/>
      <c r="R46" s="291"/>
      <c r="S46" s="291"/>
      <c r="T46" s="277"/>
      <c r="U46" s="358" t="str">
        <f>IFERROR(VLOOKUP(U44,'자율관 배정 R1'!$B:$F,5,FALSE)&amp;"","")</f>
        <v>EP면학X</v>
      </c>
      <c r="V46" s="358" t="str">
        <f>IFERROR(VLOOKUP(V44,'자율관 배정 R1'!$B:$F,5,FALSE)&amp;"","")</f>
        <v>기숙사</v>
      </c>
      <c r="W46" s="358" t="str">
        <f>IFERROR(VLOOKUP(W44,'자율관 배정 R1'!$B:$F,5,FALSE)&amp;"","")</f>
        <v>EP면학X</v>
      </c>
      <c r="X46" s="358" t="str">
        <f>IFERROR(VLOOKUP(X44,'자율관 배정 R1'!$B:$F,5,FALSE)&amp;"","")</f>
        <v>EP면학X</v>
      </c>
      <c r="Y46" s="358" t="str">
        <f>IFERROR(VLOOKUP(Y44,'자율관 배정 R1'!$B:$F,5,FALSE)&amp;"","")</f>
        <v>EP면학X</v>
      </c>
      <c r="Z46" s="358" t="str">
        <f>IFERROR(VLOOKUP(Z44,'자율관 배정 R1'!$B:$F,5,FALSE)&amp;"","")</f>
        <v>기숙사</v>
      </c>
      <c r="AA46" s="260"/>
      <c r="AB46" s="357" t="str">
        <f>IFERROR(VLOOKUP(AB44,'자율관 배정 R1'!$B:$F,5,FALSE)&amp;"","")</f>
        <v>EP면학X</v>
      </c>
      <c r="AC46" s="357" t="str">
        <f>IFERROR(VLOOKUP(AC44,'자율관 배정 R1'!$B:$F,5,FALSE)&amp;"","")</f>
        <v>기숙사</v>
      </c>
      <c r="AD46" s="357" t="str">
        <f>IFERROR(VLOOKUP(AD44,'자율관 배정 R1'!$B:$F,5,FALSE)&amp;"","")</f>
        <v>EP면학X</v>
      </c>
      <c r="AE46" s="357" t="str">
        <f>IFERROR(VLOOKUP(AE44,'자율관 배정 R1'!$B:$F,5,FALSE)&amp;"","")</f>
        <v>기숙사</v>
      </c>
      <c r="AF46" s="358" t="str">
        <f>IFERROR(VLOOKUP(AF44,'자율관 배정 R1'!$B:$F,5,FALSE)&amp;"","")</f>
        <v>EP면학X</v>
      </c>
    </row>
    <row r="47" spans="1:206" ht="20.100000000000001" customHeight="1" thickBot="1" x14ac:dyDescent="0.35">
      <c r="A47" s="295" t="s">
        <v>1417</v>
      </c>
      <c r="B47" s="249" t="str">
        <f>IFERROR(VLOOKUP(A47,'자율관 배정 R1'!$B:$F,3,FALSE)&amp;"("&amp;VLOOKUP(A47,'자율관 배정 R1'!$B:$E,2,FALSE)&amp;")","")</f>
        <v>우재호(12)</v>
      </c>
      <c r="C47" s="384" t="str">
        <f>IFERROR(VLOOKUP(A47,'자율관 배정 R1'!$B:$F,5,FALSE)&amp;"","")</f>
        <v>기숙사</v>
      </c>
      <c r="D47" s="327" t="str">
        <f>IFERROR(VLOOKUP(A47,'자율관 배정 R1'!$B:$G,8,FALSE)&amp;"","")</f>
        <v/>
      </c>
      <c r="E47" s="327"/>
      <c r="F47" s="377" t="str">
        <f>IFERROR(VLOOKUP(F45,'자율관 배정 R1'!$B:$F,5,FALSE)&amp;"","")</f>
        <v>기숙사</v>
      </c>
      <c r="G47" s="377" t="str">
        <f>IFERROR(VLOOKUP(G45,'자율관 배정 R1'!$B:$F,5,FALSE)&amp;"","")</f>
        <v/>
      </c>
      <c r="H47" s="377" t="str">
        <f>IFERROR(VLOOKUP(H45,'자율관 배정 R1'!$B:$F,5,FALSE)&amp;"","")</f>
        <v>기숙사</v>
      </c>
      <c r="I47" s="336"/>
      <c r="J47" s="382"/>
      <c r="K47" s="253"/>
      <c r="L47" s="253"/>
      <c r="M47" s="253"/>
      <c r="N47" s="253"/>
      <c r="O47" s="301"/>
      <c r="P47" s="303"/>
      <c r="Q47" s="291"/>
      <c r="R47" s="291"/>
      <c r="S47" s="291"/>
      <c r="T47" s="277"/>
      <c r="U47" s="260"/>
      <c r="V47" s="260"/>
      <c r="W47" s="260"/>
      <c r="X47" s="260"/>
      <c r="Y47" s="260"/>
      <c r="Z47" s="260"/>
      <c r="AA47" s="260"/>
      <c r="AB47" s="260"/>
      <c r="AC47" s="260"/>
      <c r="AD47" s="260"/>
      <c r="AE47" s="260"/>
      <c r="AF47" s="457"/>
    </row>
    <row r="48" spans="1:206" ht="20.100000000000001" customHeight="1" thickBot="1" x14ac:dyDescent="0.35">
      <c r="A48" s="289" t="s">
        <v>1541</v>
      </c>
      <c r="B48" s="249" t="str">
        <f>IFERROR(VLOOKUP(A48,'자율관 배정 R1'!$B:$F,3,FALSE)&amp;"("&amp;VLOOKUP(A48,'자율관 배정 R1'!$B:$E,2,FALSE)&amp;")","")</f>
        <v>강민혁(11)</v>
      </c>
      <c r="C48" s="384" t="str">
        <f>IFERROR(VLOOKUP(A48,'자율관 배정 R1'!$B:$F,5,FALSE)&amp;"","")</f>
        <v>EP면학X</v>
      </c>
      <c r="D48" s="327" t="str">
        <f>IFERROR(VLOOKUP(A48,'자율관 배정 R1'!$B:$G,8,FALSE)&amp;"","")</f>
        <v/>
      </c>
      <c r="E48" s="327"/>
      <c r="F48" s="289" t="s">
        <v>1432</v>
      </c>
      <c r="G48" s="290" t="s">
        <v>1431</v>
      </c>
      <c r="H48" s="369" t="s">
        <v>1430</v>
      </c>
      <c r="I48" s="336"/>
      <c r="J48" s="290" t="s">
        <v>1438</v>
      </c>
      <c r="K48" s="290" t="s">
        <v>1437</v>
      </c>
      <c r="L48" s="290" t="s">
        <v>1436</v>
      </c>
      <c r="M48" s="290" t="s">
        <v>1435</v>
      </c>
      <c r="N48" s="290" t="s">
        <v>1434</v>
      </c>
      <c r="O48" s="290" t="s">
        <v>1433</v>
      </c>
      <c r="P48" s="303"/>
      <c r="Q48" s="291"/>
      <c r="R48" s="291"/>
      <c r="S48" s="291"/>
      <c r="T48" s="277"/>
      <c r="U48" s="305" t="s">
        <v>78</v>
      </c>
      <c r="V48" s="305" t="s">
        <v>79</v>
      </c>
      <c r="W48" s="305" t="s">
        <v>80</v>
      </c>
      <c r="X48" s="305" t="s">
        <v>81</v>
      </c>
      <c r="Y48" s="305" t="s">
        <v>82</v>
      </c>
      <c r="Z48" s="305" t="s">
        <v>83</v>
      </c>
      <c r="AA48" s="260"/>
      <c r="AB48" s="305" t="s">
        <v>84</v>
      </c>
      <c r="AC48" s="305" t="s">
        <v>85</v>
      </c>
      <c r="AD48" s="305" t="s">
        <v>86</v>
      </c>
      <c r="AE48" s="305" t="s">
        <v>87</v>
      </c>
      <c r="AF48" s="364" t="s">
        <v>88</v>
      </c>
    </row>
    <row r="49" spans="1:32" ht="19.5" customHeight="1" thickBot="1" x14ac:dyDescent="0.35">
      <c r="A49" s="289" t="s">
        <v>1419</v>
      </c>
      <c r="B49" s="249" t="str">
        <f>IFERROR(VLOOKUP(A49,'자율관 배정 R1'!$B:$F,3,FALSE)&amp;"("&amp;VLOOKUP(A49,'자율관 배정 R1'!$B:$E,2,FALSE)&amp;")","")</f>
        <v>윤서진(12)</v>
      </c>
      <c r="C49" s="384" t="str">
        <f>IFERROR(VLOOKUP(A49,'자율관 배정 R1'!$B:$F,5,FALSE)&amp;"","")</f>
        <v>기숙사</v>
      </c>
      <c r="D49" s="327" t="str">
        <f>IFERROR(VLOOKUP(A49,'자율관 배정 R1'!$B:$G,8,FALSE)&amp;"","")</f>
        <v/>
      </c>
      <c r="E49" s="327"/>
      <c r="F49" s="378" t="str">
        <f>IFERROR(VLOOKUP(F48,'자율관 배정 R1'!$B:$F,3,FALSE)&amp;"("&amp;VLOOKUP(F48,'자율관 배정 R1'!$B:$E,2,FALSE)&amp;")","")</f>
        <v>조상훈(4)</v>
      </c>
      <c r="G49" s="379" t="str">
        <f>IFERROR(VLOOKUP(G48,'자율관 배정 R1'!$B:$F,3,FALSE)&amp;"("&amp;VLOOKUP(G48,'자율관 배정 R1'!$B:$E,2,FALSE)&amp;")","")</f>
        <v>오대규(6)</v>
      </c>
      <c r="H49" s="380" t="str">
        <f>IFERROR(VLOOKUP(H48,'자율관 배정 R1'!$B:$F,3,FALSE)&amp;"("&amp;VLOOKUP(H48,'자율관 배정 R1'!$B:$E,2,FALSE)&amp;")","")</f>
        <v>정세윤(10)</v>
      </c>
      <c r="I49" s="336"/>
      <c r="J49" s="379" t="str">
        <f>IFERROR(VLOOKUP(J48,'자율관 배정 R1'!$B:$F,3,FALSE)&amp;"("&amp;VLOOKUP(J48,'자율관 배정 R1'!$B:$E,2,FALSE)&amp;")","")</f>
        <v>최동인(6)</v>
      </c>
      <c r="K49" s="379" t="str">
        <f>IFERROR(VLOOKUP(K48,'자율관 배정 R1'!$B:$F,3,FALSE)&amp;"("&amp;VLOOKUP(K48,'자율관 배정 R1'!$B:$E,2,FALSE)&amp;")","")</f>
        <v>신준우(5)</v>
      </c>
      <c r="L49" s="379" t="str">
        <f>IFERROR(VLOOKUP(L48,'자율관 배정 R1'!$B:$F,3,FALSE)&amp;"("&amp;VLOOKUP(L48,'자율관 배정 R1'!$B:$E,2,FALSE)&amp;")","")</f>
        <v>()</v>
      </c>
      <c r="M49" s="379" t="str">
        <f>IFERROR(VLOOKUP(M48,'자율관 배정 R1'!$B:$F,3,FALSE)&amp;"("&amp;VLOOKUP(M48,'자율관 배정 R1'!$B:$E,2,FALSE)&amp;")","")</f>
        <v>박진표(5)</v>
      </c>
      <c r="N49" s="379" t="str">
        <f>IFERROR(VLOOKUP(N48,'자율관 배정 R1'!$B:$F,3,FALSE)&amp;"("&amp;VLOOKUP(N48,'자율관 배정 R1'!$B:$E,2,FALSE)&amp;")","")</f>
        <v>이강은(6)</v>
      </c>
      <c r="O49" s="379" t="str">
        <f>IFERROR(VLOOKUP(O48,'자율관 배정 R1'!$B:$F,3,FALSE)&amp;"("&amp;VLOOKUP(O48,'자율관 배정 R1'!$B:$E,2,FALSE)&amp;")","")</f>
        <v>김휘원(5)</v>
      </c>
      <c r="P49" s="303"/>
      <c r="Q49" s="291"/>
      <c r="R49" s="291"/>
      <c r="S49" s="291"/>
      <c r="T49" s="277"/>
      <c r="U49" s="250" t="str">
        <f>IFERROR(VLOOKUP(U48,'자율관 배정 R1'!$B:$F,3,FALSE)&amp;"("&amp;VLOOKUP(U48,'자율관 배정 R1'!$B:$E,2,FALSE)&amp;")","")</f>
        <v>이가은(10)</v>
      </c>
      <c r="V49" s="250" t="str">
        <f>IFERROR(VLOOKUP(V48,'자율관 배정 R1'!$B:$F,3,FALSE)&amp;"("&amp;VLOOKUP(V48,'자율관 배정 R1'!$B:$E,2,FALSE)&amp;")","")</f>
        <v>엄여울(9)</v>
      </c>
      <c r="W49" s="250" t="str">
        <f>IFERROR(VLOOKUP(W48,'자율관 배정 R1'!$B:$F,3,FALSE)&amp;"("&amp;VLOOKUP(W48,'자율관 배정 R1'!$B:$E,2,FALSE)&amp;")","")</f>
        <v>이서연(10)</v>
      </c>
      <c r="X49" s="250" t="str">
        <f>IFERROR(VLOOKUP(X48,'자율관 배정 R1'!$B:$F,3,FALSE)&amp;"("&amp;VLOOKUP(X48,'자율관 배정 R1'!$B:$E,2,FALSE)&amp;")","")</f>
        <v>이승안(9)</v>
      </c>
      <c r="Y49" s="250" t="str">
        <f>IFERROR(VLOOKUP(Y48,'자율관 배정 R1'!$B:$F,3,FALSE)&amp;"("&amp;VLOOKUP(Y48,'자율관 배정 R1'!$B:$E,2,FALSE)&amp;")","")</f>
        <v>이서희(10)</v>
      </c>
      <c r="Z49" s="250" t="str">
        <f>IFERROR(VLOOKUP(Z48,'자율관 배정 R1'!$B:$F,3,FALSE)&amp;"("&amp;VLOOKUP(Z48,'자율관 배정 R1'!$B:$E,2,FALSE)&amp;")","")</f>
        <v>이현희(9)</v>
      </c>
      <c r="AA49" s="260"/>
      <c r="AB49" s="250" t="str">
        <f>IFERROR(VLOOKUP(AB48,'자율관 배정 R1'!$B:$F,3,FALSE)&amp;"("&amp;VLOOKUP(AB48,'자율관 배정 R1'!$B:$E,2,FALSE)&amp;")","")</f>
        <v>이채린(10)</v>
      </c>
      <c r="AC49" s="250" t="str">
        <f>IFERROR(VLOOKUP(AC48,'자율관 배정 R1'!$B:$F,3,FALSE)&amp;"("&amp;VLOOKUP(AC48,'자율관 배정 R1'!$B:$E,2,FALSE)&amp;")","")</f>
        <v>정여은(9)</v>
      </c>
      <c r="AD49" s="250" t="str">
        <f>IFERROR(VLOOKUP(AD48,'자율관 배정 R1'!$B:$F,3,FALSE)&amp;"("&amp;VLOOKUP(AD48,'자율관 배정 R1'!$B:$E,2,FALSE)&amp;")","")</f>
        <v>지서현(10)</v>
      </c>
      <c r="AE49" s="250" t="str">
        <f>IFERROR(VLOOKUP(AE48,'자율관 배정 R1'!$B:$F,3,FALSE)&amp;"("&amp;VLOOKUP(AE48,'자율관 배정 R1'!$B:$E,2,FALSE)&amp;")","")</f>
        <v>조채원(9)</v>
      </c>
      <c r="AF49" s="372" t="str">
        <f>IFERROR(VLOOKUP(AF48,'자율관 배정 R1'!$B:$F,3,FALSE)&amp;"("&amp;VLOOKUP(AF48,'자율관 배정 R1'!$B:$E,2,FALSE)&amp;")","")</f>
        <v>진여정(10)</v>
      </c>
    </row>
    <row r="50" spans="1:32" ht="19.5" customHeight="1" thickBot="1" x14ac:dyDescent="0.35">
      <c r="A50" s="294" t="s">
        <v>1420</v>
      </c>
      <c r="B50" s="249" t="str">
        <f>IFERROR(VLOOKUP(A50,'자율관 배정 R1'!$B:$F,3,FALSE)&amp;"("&amp;VLOOKUP(A50,'자율관 배정 R1'!$B:$E,2,FALSE)&amp;")","")</f>
        <v>김재원(11)</v>
      </c>
      <c r="C50" s="384" t="str">
        <f>IFERROR(VLOOKUP(A50,'자율관 배정 R1'!$B:$F,5,FALSE)&amp;"","")</f>
        <v>EP면학X</v>
      </c>
      <c r="D50" s="327" t="str">
        <f>IFERROR(VLOOKUP(A50,'자율관 배정 R1'!$B:$G,8,FALSE)&amp;"","")</f>
        <v/>
      </c>
      <c r="E50" s="327"/>
      <c r="F50" s="381" t="str">
        <f>IFERROR(VLOOKUP(F48,'자율관 배정 R1'!$B:$F,5,FALSE)&amp;"","")</f>
        <v>EP면학X</v>
      </c>
      <c r="G50" s="381" t="str">
        <f>IFERROR(VLOOKUP(G48,'자율관 배정 R1'!$B:$F,5,FALSE)&amp;"","")</f>
        <v>EP면학X</v>
      </c>
      <c r="H50" s="432" t="str">
        <f>IFERROR(VLOOKUP(H48,'자율관 배정 R1'!$B:$F,5,FALSE)&amp;"","")</f>
        <v>기숙사</v>
      </c>
      <c r="I50" s="336"/>
      <c r="J50" s="381" t="str">
        <f>IFERROR(VLOOKUP(J48,'자율관 배정 R1'!$B:$F,5,FALSE)&amp;"","")</f>
        <v>EP면학X</v>
      </c>
      <c r="K50" s="381" t="str">
        <f>IFERROR(VLOOKUP(K48,'자율관 배정 R1'!$B:$F,5,FALSE)&amp;"","")</f>
        <v>기숙사</v>
      </c>
      <c r="L50" s="381" t="str">
        <f>IFERROR(VLOOKUP(L48,'자율관 배정 R1'!$B:$F,5,FALSE)&amp;"","")</f>
        <v/>
      </c>
      <c r="M50" s="381" t="str">
        <f>IFERROR(VLOOKUP(M48,'자율관 배정 R1'!$B:$F,5,FALSE)&amp;"","")</f>
        <v>기숙사</v>
      </c>
      <c r="N50" s="381" t="str">
        <f>IFERROR(VLOOKUP(N48,'자율관 배정 R1'!$B:$F,5,FALSE)&amp;"","")</f>
        <v>EP면학X</v>
      </c>
      <c r="O50" s="381" t="str">
        <f>IFERROR(VLOOKUP(O48,'자율관 배정 R1'!$B:$F,5,FALSE)&amp;"","")</f>
        <v>월화수목</v>
      </c>
      <c r="P50" s="435"/>
      <c r="Q50" s="277"/>
      <c r="R50" s="327"/>
      <c r="S50" s="277"/>
      <c r="T50" s="277"/>
      <c r="U50" s="358" t="str">
        <f>IFERROR(VLOOKUP(U48,'자율관 배정 R1'!$B:$F,5,FALSE)&amp;"","")</f>
        <v>기숙사</v>
      </c>
      <c r="V50" s="358" t="str">
        <f>IFERROR(VLOOKUP(V48,'자율관 배정 R1'!$B:$F,5,FALSE)&amp;"","")</f>
        <v>월화수목</v>
      </c>
      <c r="W50" s="358" t="str">
        <f>IFERROR(VLOOKUP(W48,'자율관 배정 R1'!$B:$F,5,FALSE)&amp;"","")</f>
        <v>기숙사</v>
      </c>
      <c r="X50" s="358" t="str">
        <f>IFERROR(VLOOKUP(X48,'자율관 배정 R1'!$B:$F,5,FALSE)&amp;"","")</f>
        <v>EP면학X</v>
      </c>
      <c r="Y50" s="358" t="str">
        <f>IFERROR(VLOOKUP(Y48,'자율관 배정 R1'!$B:$F,5,FALSE)&amp;"","")</f>
        <v>기숙사</v>
      </c>
      <c r="Z50" s="358" t="str">
        <f>IFERROR(VLOOKUP(Z48,'자율관 배정 R1'!$B:$F,5,FALSE)&amp;"","")</f>
        <v>EP면학X</v>
      </c>
      <c r="AA50" s="260"/>
      <c r="AB50" s="358" t="str">
        <f>IFERROR(VLOOKUP(AB48,'자율관 배정 R1'!$B:$F,5,FALSE)&amp;"","")</f>
        <v>기숙사</v>
      </c>
      <c r="AC50" s="358" t="str">
        <f>IFERROR(VLOOKUP(AC48,'자율관 배정 R1'!$B:$F,5,FALSE)&amp;"","")</f>
        <v>EP면학X</v>
      </c>
      <c r="AD50" s="358" t="str">
        <f>IFERROR(VLOOKUP(AD48,'자율관 배정 R1'!$B:$F,5,FALSE)&amp;"","")</f>
        <v>기숙사</v>
      </c>
      <c r="AE50" s="358" t="str">
        <f>IFERROR(VLOOKUP(AE48,'자율관 배정 R1'!$B:$F,5,FALSE)&amp;"","")</f>
        <v>EP면학X</v>
      </c>
      <c r="AF50" s="358" t="str">
        <f>IFERROR(VLOOKUP(AF48,'자율관 배정 R1'!$B:$F,5,FALSE)&amp;"","")</f>
        <v>기숙사</v>
      </c>
    </row>
    <row r="51" spans="1:32" ht="19.5" customHeight="1" thickBot="1" x14ac:dyDescent="0.35">
      <c r="A51" s="289" t="s">
        <v>1421</v>
      </c>
      <c r="B51" s="249" t="str">
        <f>IFERROR(VLOOKUP(A51,'자율관 배정 R1'!$B:$F,3,FALSE)&amp;"("&amp;VLOOKUP(A51,'자율관 배정 R1'!$B:$E,2,FALSE)&amp;")","")</f>
        <v>이민준(12)</v>
      </c>
      <c r="C51" s="384" t="str">
        <f>IFERROR(VLOOKUP(A51,'자율관 배정 R1'!$B:$F,5,FALSE)&amp;"","")</f>
        <v>기숙사</v>
      </c>
      <c r="D51" s="327" t="str">
        <f>IFERROR(VLOOKUP(A51,'자율관 배정 R1'!$B:$G,8,FALSE)&amp;"","")</f>
        <v/>
      </c>
      <c r="E51" s="327"/>
      <c r="F51" s="260"/>
      <c r="G51" s="260"/>
      <c r="H51" s="260"/>
      <c r="I51" s="336"/>
      <c r="J51" s="289" t="s">
        <v>1429</v>
      </c>
      <c r="K51" s="290" t="s">
        <v>196</v>
      </c>
      <c r="L51" s="383" t="s">
        <v>197</v>
      </c>
      <c r="M51" s="290" t="s">
        <v>198</v>
      </c>
      <c r="N51" s="383" t="s">
        <v>199</v>
      </c>
      <c r="O51" s="290" t="s">
        <v>200</v>
      </c>
      <c r="P51" s="303"/>
      <c r="Q51" s="291"/>
      <c r="R51" s="327"/>
      <c r="S51" s="327"/>
      <c r="T51" s="291"/>
      <c r="U51" s="305" t="s">
        <v>89</v>
      </c>
      <c r="V51" s="305" t="s">
        <v>90</v>
      </c>
      <c r="W51" s="305" t="s">
        <v>91</v>
      </c>
      <c r="X51" s="305" t="s">
        <v>92</v>
      </c>
      <c r="Y51" s="305" t="s">
        <v>93</v>
      </c>
      <c r="Z51" s="305" t="s">
        <v>94</v>
      </c>
      <c r="AA51" s="260"/>
      <c r="AB51" s="305" t="s">
        <v>95</v>
      </c>
      <c r="AC51" s="305" t="s">
        <v>96</v>
      </c>
      <c r="AD51" s="305" t="s">
        <v>97</v>
      </c>
      <c r="AE51" s="305" t="s">
        <v>98</v>
      </c>
      <c r="AF51" s="305" t="s">
        <v>99</v>
      </c>
    </row>
    <row r="52" spans="1:32" ht="19.5" customHeight="1" thickBot="1" x14ac:dyDescent="0.35">
      <c r="A52" s="289" t="s">
        <v>1422</v>
      </c>
      <c r="B52" s="249" t="str">
        <f>IFERROR(VLOOKUP(A52,'자율관 배정 R1'!$B:$F,3,FALSE)&amp;"("&amp;VLOOKUP(A52,'자율관 배정 R1'!$B:$E,2,FALSE)&amp;")","")</f>
        <v>이지범(11)</v>
      </c>
      <c r="C52" s="384" t="str">
        <f>IFERROR(VLOOKUP(A52,'자율관 배정 R1'!$B:$F,5,FALSE)&amp;"","")</f>
        <v>EP면학X</v>
      </c>
      <c r="D52" s="327" t="str">
        <f>IFERROR(VLOOKUP(A52,'자율관 배정 R1'!$B:$G,8,FALSE)&amp;"","")</f>
        <v/>
      </c>
      <c r="E52" s="337"/>
      <c r="F52" s="385" t="s">
        <v>1428</v>
      </c>
      <c r="G52" s="385" t="s">
        <v>1394</v>
      </c>
      <c r="H52" s="385" t="s">
        <v>1393</v>
      </c>
      <c r="I52" s="336"/>
      <c r="J52" s="355" t="str">
        <f>IFERROR(VLOOKUP(J51,'자율관 배정 R1'!$B:$F,3,FALSE)&amp;"("&amp;VLOOKUP(J51,'자율관 배정 R1'!$B:$E,2,FALSE)&amp;")","")</f>
        <v>배서준(9)</v>
      </c>
      <c r="K52" s="250" t="str">
        <f>IFERROR(VLOOKUP(K51,'자율관 배정 R1'!$B:$F,3,FALSE)&amp;"("&amp;VLOOKUP(K51,'자율관 배정 R1'!$B:$E,2,FALSE)&amp;")","")</f>
        <v>박기현(6)</v>
      </c>
      <c r="L52" s="367" t="str">
        <f>IFERROR(VLOOKUP(L51,'자율관 배정 R1'!$B:$F,3,FALSE)&amp;"("&amp;VLOOKUP(L51,'자율관 배정 R1'!$B:$E,2,FALSE)&amp;")","")</f>
        <v>김명주(9)</v>
      </c>
      <c r="M52" s="250" t="str">
        <f>IFERROR(VLOOKUP(M51,'자율관 배정 R1'!$B:$F,3,FALSE)&amp;"("&amp;VLOOKUP(M51,'자율관 배정 R1'!$B:$E,2,FALSE)&amp;")","")</f>
        <v>김현준(6)</v>
      </c>
      <c r="N52" s="367" t="str">
        <f>IFERROR(VLOOKUP(N51,'자율관 배정 R1'!$B:$F,3,FALSE)&amp;"("&amp;VLOOKUP(N51,'자율관 배정 R1'!$B:$E,2,FALSE)&amp;")","")</f>
        <v>이정(8)</v>
      </c>
      <c r="O52" s="250" t="str">
        <f>IFERROR(VLOOKUP(O51,'자율관 배정 R1'!$B:$F,3,FALSE)&amp;"("&amp;VLOOKUP(O51,'자율관 배정 R1'!$B:$E,2,FALSE)&amp;")","")</f>
        <v>강성원(6)</v>
      </c>
      <c r="P52" s="297"/>
      <c r="Q52" s="291"/>
      <c r="R52" s="327"/>
      <c r="S52" s="327"/>
      <c r="T52" s="337"/>
      <c r="U52" s="250" t="str">
        <f>IFERROR(VLOOKUP(U51,'자율관 배정 R1'!$B:$F,3,FALSE)&amp;"("&amp;VLOOKUP(U51,'자율관 배정 R1'!$B:$E,2,FALSE)&amp;")","")</f>
        <v>하다연(9)</v>
      </c>
      <c r="V52" s="250" t="str">
        <f>IFERROR(VLOOKUP(V51,'자율관 배정 R1'!$B:$F,3,FALSE)&amp;"("&amp;VLOOKUP(V51,'자율관 배정 R1'!$B:$E,2,FALSE)&amp;")","")</f>
        <v>김나연(10)</v>
      </c>
      <c r="W52" s="250" t="str">
        <f>IFERROR(VLOOKUP(W51,'자율관 배정 R1'!$B:$F,3,FALSE)&amp;"("&amp;VLOOKUP(W51,'자율관 배정 R1'!$B:$E,2,FALSE)&amp;")","")</f>
        <v>김명윤(11)</v>
      </c>
      <c r="X52" s="250" t="str">
        <f>IFERROR(VLOOKUP(X51,'자율관 배정 R1'!$B:$F,3,FALSE)&amp;"("&amp;VLOOKUP(X51,'자율관 배정 R1'!$B:$E,2,FALSE)&amp;")","")</f>
        <v>김유진(10)</v>
      </c>
      <c r="Y52" s="250" t="str">
        <f>IFERROR(VLOOKUP(Y51,'자율관 배정 R1'!$B:$F,3,FALSE)&amp;"("&amp;VLOOKUP(Y51,'자율관 배정 R1'!$B:$E,2,FALSE)&amp;")","")</f>
        <v>김민서(11)</v>
      </c>
      <c r="Z52" s="250" t="str">
        <f>IFERROR(VLOOKUP(Z51,'자율관 배정 R1'!$B:$F,3,FALSE)&amp;"("&amp;VLOOKUP(Z51,'자율관 배정 R1'!$B:$E,2,FALSE)&amp;")","")</f>
        <v>나지애(10)</v>
      </c>
      <c r="AA52" s="260"/>
      <c r="AB52" s="250" t="str">
        <f>IFERROR(VLOOKUP(AB51,'자율관 배정 R1'!$B:$F,3,FALSE)&amp;"("&amp;VLOOKUP(AB51,'자율관 배정 R1'!$B:$E,2,FALSE)&amp;")","")</f>
        <v>박윤서(11)</v>
      </c>
      <c r="AC52" s="250" t="str">
        <f>IFERROR(VLOOKUP(AC51,'자율관 배정 R1'!$B:$F,3,FALSE)&amp;"("&amp;VLOOKUP(AC51,'자율관 배정 R1'!$B:$E,2,FALSE)&amp;")","")</f>
        <v>신지민(10)</v>
      </c>
      <c r="AD52" s="250" t="str">
        <f>IFERROR(VLOOKUP(AD51,'자율관 배정 R1'!$B:$F,3,FALSE)&amp;"("&amp;VLOOKUP(AD51,'자율관 배정 R1'!$B:$E,2,FALSE)&amp;")","")</f>
        <v>여희수(11)</v>
      </c>
      <c r="AE52" s="250" t="str">
        <f>IFERROR(VLOOKUP(AE51,'자율관 배정 R1'!$B:$F,3,FALSE)&amp;"("&amp;VLOOKUP(AE51,'자율관 배정 R1'!$B:$E,2,FALSE)&amp;")","")</f>
        <v>유정원(10)</v>
      </c>
      <c r="AF52" s="250" t="str">
        <f>IFERROR(VLOOKUP(AF51,'자율관 배정 R1'!$B:$F,3,FALSE)&amp;"("&amp;VLOOKUP(AF51,'자율관 배정 R1'!$B:$E,2,FALSE)&amp;")","")</f>
        <v>이채빈(11)</v>
      </c>
    </row>
    <row r="53" spans="1:32" ht="19.5" customHeight="1" thickBot="1" x14ac:dyDescent="0.35">
      <c r="A53" s="294" t="s">
        <v>1423</v>
      </c>
      <c r="B53" s="249" t="str">
        <f>IFERROR(VLOOKUP(A53,'자율관 배정 R1'!$B:$F,3,FALSE)&amp;"("&amp;VLOOKUP(A53,'자율관 배정 R1'!$B:$E,2,FALSE)&amp;")","")</f>
        <v>이지율(12)</v>
      </c>
      <c r="C53" s="384" t="str">
        <f>IFERROR(VLOOKUP(A53,'자율관 배정 R1'!$B:$F,5,FALSE)&amp;"","")</f>
        <v>기숙사</v>
      </c>
      <c r="D53" s="327" t="str">
        <f>IFERROR(VLOOKUP(A53,'자율관 배정 R1'!$B:$G,8,FALSE)&amp;"","")</f>
        <v/>
      </c>
      <c r="E53" s="327"/>
      <c r="F53" s="372" t="str">
        <f>IFERROR(VLOOKUP(F52,'자율관 배정 R1'!$B:$F,3,FALSE)&amp;"("&amp;VLOOKUP(F52,'자율관 배정 R1'!$B:$E,2,FALSE)&amp;")","")</f>
        <v>임현성(5)</v>
      </c>
      <c r="G53" s="372" t="str">
        <f>IFERROR(VLOOKUP(G52,'자율관 배정 R1'!$B:$F,3,FALSE)&amp;"("&amp;VLOOKUP(G52,'자율관 배정 R1'!$B:$E,2,FALSE)&amp;")","")</f>
        <v>전우혁(9)</v>
      </c>
      <c r="H53" s="372" t="str">
        <f>IFERROR(VLOOKUP(H52,'자율관 배정 R1'!$B:$F,3,FALSE)&amp;"("&amp;VLOOKUP(H52,'자율관 배정 R1'!$B:$E,2,FALSE)&amp;")","")</f>
        <v>이건호(1)</v>
      </c>
      <c r="I53" s="336"/>
      <c r="J53" s="373" t="str">
        <f>IFERROR(VLOOKUP(J51,'자율관 배정 R1'!$B:$F,5,FALSE)&amp;"","")</f>
        <v>EP면학X</v>
      </c>
      <c r="K53" s="373" t="str">
        <f>IFERROR(VLOOKUP(K51,'자율관 배정 R1'!$B:$F,5,FALSE)&amp;"","")</f>
        <v>EP면학X</v>
      </c>
      <c r="L53" s="373" t="str">
        <f>IFERROR(VLOOKUP(L51,'자율관 배정 R1'!$B:$F,5,FALSE)&amp;"","")</f>
        <v>EP면학X</v>
      </c>
      <c r="M53" s="373" t="str">
        <f>IFERROR(VLOOKUP(M51,'자율관 배정 R1'!$B:$F,5,FALSE)&amp;"","")</f>
        <v>EP면학X</v>
      </c>
      <c r="N53" s="373" t="str">
        <f>IFERROR(VLOOKUP(N51,'자율관 배정 R1'!$B:$F,5,FALSE)&amp;"","")</f>
        <v>EP면학X</v>
      </c>
      <c r="O53" s="373" t="str">
        <f>IFERROR(VLOOKUP(O51,'자율관 배정 R1'!$B:$F,5,FALSE)&amp;"","")</f>
        <v>EP면학X</v>
      </c>
      <c r="P53" s="436"/>
      <c r="Q53" s="291"/>
      <c r="R53" s="327"/>
      <c r="S53" s="327"/>
      <c r="T53" s="337"/>
      <c r="U53" s="357" t="str">
        <f>IFERROR(VLOOKUP(U51,'자율관 배정 R1'!$B:$F,5,FALSE)&amp;"","")</f>
        <v>월화수목</v>
      </c>
      <c r="V53" s="357" t="str">
        <f>IFERROR(VLOOKUP(V51,'자율관 배정 R1'!$B:$F,5,FALSE)&amp;"","")</f>
        <v>EP면학X</v>
      </c>
      <c r="W53" s="357" t="str">
        <f>IFERROR(VLOOKUP(W51,'자율관 배정 R1'!$B:$F,5,FALSE)&amp;"","")</f>
        <v>기숙사</v>
      </c>
      <c r="X53" s="357" t="str">
        <f>IFERROR(VLOOKUP(X51,'자율관 배정 R1'!$B:$F,5,FALSE)&amp;"","")</f>
        <v>EP면학X</v>
      </c>
      <c r="Y53" s="357" t="str">
        <f>IFERROR(VLOOKUP(Y51,'자율관 배정 R1'!$B:$F,5,FALSE)&amp;"","")</f>
        <v>기숙사</v>
      </c>
      <c r="Z53" s="357" t="str">
        <f>IFERROR(VLOOKUP(Z51,'자율관 배정 R1'!$B:$F,5,FALSE)&amp;"","")</f>
        <v>EP면학X</v>
      </c>
      <c r="AA53" s="438"/>
      <c r="AB53" s="357" t="str">
        <f>IFERROR(VLOOKUP(AB51,'자율관 배정 R1'!$B:$F,5,FALSE)&amp;"","")</f>
        <v>기숙사</v>
      </c>
      <c r="AC53" s="357" t="str">
        <f>IFERROR(VLOOKUP(AC51,'자율관 배정 R1'!$B:$F,5,FALSE)&amp;"","")</f>
        <v>EP면학X</v>
      </c>
      <c r="AD53" s="357" t="str">
        <f>IFERROR(VLOOKUP(AD51,'자율관 배정 R1'!$B:$F,5,FALSE)&amp;"","")</f>
        <v>월화수목</v>
      </c>
      <c r="AE53" s="357" t="str">
        <f>IFERROR(VLOOKUP(AE51,'자율관 배정 R1'!$B:$F,5,FALSE)&amp;"","")</f>
        <v>EP면학X</v>
      </c>
      <c r="AF53" s="358" t="str">
        <f>IFERROR(VLOOKUP(AF51,'자율관 배정 R1'!$B:$F,5,FALSE)&amp;"","")</f>
        <v>EP면학X</v>
      </c>
    </row>
    <row r="54" spans="1:32" ht="19.5" customHeight="1" thickBot="1" x14ac:dyDescent="0.35">
      <c r="A54" s="310"/>
      <c r="B54" s="242" t="str">
        <f>IFERROR(VLOOKUP(A54,'자율관 배정 R1'!$B:$F,3,FALSE)&amp;"("&amp;VLOOKUP(A54,'자율관 배정 R1'!$B:$E,2,FALSE)&amp;")","")</f>
        <v/>
      </c>
      <c r="C54" s="345" t="str">
        <f>IFERROR(VLOOKUP(A54,'자율관 배정 R1'!$B:$F,7,FALSE)&amp;"","")</f>
        <v/>
      </c>
      <c r="D54" s="327" t="str">
        <f>IFERROR(VLOOKUP(A54,'자율관 배정 R1'!$B:$G,8,FALSE)&amp;"","")</f>
        <v/>
      </c>
      <c r="E54" s="327"/>
      <c r="F54" s="358" t="str">
        <f>IFERROR(VLOOKUP(F52,'자율관 배정 R1'!$B:$F,5,FALSE)&amp;"","")</f>
        <v>EP면학X</v>
      </c>
      <c r="G54" s="358" t="str">
        <f>IFERROR(VLOOKUP(G52,'자율관 배정 R1'!$B:$F,5,FALSE)&amp;"","")</f>
        <v>EP면학X</v>
      </c>
      <c r="H54" s="358" t="str">
        <f>IFERROR(VLOOKUP(H52,'자율관 배정 R1'!$B:$F,5,FALSE)&amp;"","")</f>
        <v>EP면학X</v>
      </c>
      <c r="I54" s="336"/>
      <c r="J54" s="308"/>
      <c r="K54" s="308"/>
      <c r="L54" s="308"/>
      <c r="M54" s="308"/>
      <c r="N54" s="308"/>
      <c r="O54" s="308"/>
      <c r="P54" s="307"/>
      <c r="Q54" s="291"/>
      <c r="R54" s="327"/>
      <c r="S54" s="327"/>
      <c r="T54" s="337"/>
      <c r="U54" s="260"/>
      <c r="V54" s="260"/>
      <c r="W54" s="260"/>
      <c r="X54" s="260"/>
      <c r="Y54" s="260"/>
      <c r="Z54" s="260"/>
      <c r="AA54" s="260"/>
      <c r="AB54" s="260"/>
      <c r="AC54" s="260"/>
      <c r="AD54" s="242" t="str">
        <f>IFERROR(VLOOKUP(AD52,'자율관 배정 R1'!$B:$G,8,FALSE)&amp;"","")</f>
        <v/>
      </c>
      <c r="AE54" s="260"/>
      <c r="AF54" s="457"/>
    </row>
    <row r="55" spans="1:32" ht="19.5" customHeight="1" thickBot="1" x14ac:dyDescent="0.35">
      <c r="A55" s="310"/>
      <c r="B55" s="242" t="str">
        <f>IFERROR(VLOOKUP(A55,'자율관 배정 R1'!$B:$F,3,FALSE)&amp;"("&amp;VLOOKUP(A55,'자율관 배정 R1'!$B:$E,2,FALSE)&amp;")","")</f>
        <v/>
      </c>
      <c r="C55" s="345" t="str">
        <f>IFERROR(VLOOKUP(A55,'자율관 배정 R1'!$B:$F,7,FALSE)&amp;"","")</f>
        <v/>
      </c>
      <c r="D55" s="327" t="str">
        <f>IFERROR(VLOOKUP(A55,'자율관 배정 R1'!$B:$G,8,FALSE)&amp;"","")</f>
        <v/>
      </c>
      <c r="E55" s="327"/>
      <c r="F55" s="205" t="s">
        <v>210</v>
      </c>
      <c r="G55" s="385" t="s">
        <v>211</v>
      </c>
      <c r="H55" s="386" t="s">
        <v>212</v>
      </c>
      <c r="I55" s="336"/>
      <c r="J55" s="308"/>
      <c r="K55" s="308"/>
      <c r="L55" s="308"/>
      <c r="M55" s="308"/>
      <c r="N55" s="308"/>
      <c r="O55" s="308"/>
      <c r="P55" s="307"/>
      <c r="Q55" s="291"/>
      <c r="R55" s="291"/>
      <c r="S55" s="291"/>
      <c r="T55" s="298"/>
      <c r="U55" s="305" t="s">
        <v>100</v>
      </c>
      <c r="V55" s="305" t="s">
        <v>101</v>
      </c>
      <c r="W55" s="305" t="s">
        <v>102</v>
      </c>
      <c r="X55" s="305" t="s">
        <v>103</v>
      </c>
      <c r="Y55" s="305" t="s">
        <v>104</v>
      </c>
      <c r="Z55" s="305" t="s">
        <v>105</v>
      </c>
      <c r="AA55" s="260"/>
      <c r="AB55" s="305" t="s">
        <v>106</v>
      </c>
      <c r="AC55" s="260"/>
      <c r="AD55" s="241" t="str">
        <f>IFERROR(VLOOKUP(AD53,'자율관 배정 R1'!$B:$G,8,FALSE)&amp;"","")</f>
        <v/>
      </c>
      <c r="AE55" s="305" t="s">
        <v>107</v>
      </c>
      <c r="AF55" s="305" t="s">
        <v>108</v>
      </c>
    </row>
    <row r="56" spans="1:32" ht="20.100000000000001" customHeight="1" x14ac:dyDescent="0.3">
      <c r="A56" s="310"/>
      <c r="B56" s="242" t="str">
        <f>IFERROR(VLOOKUP(A56,'자율관 배정 R1'!$B:$F,3,FALSE)&amp;"("&amp;VLOOKUP(A56,'자율관 배정 R1'!$B:$E,2,FALSE)&amp;")","")</f>
        <v/>
      </c>
      <c r="C56" s="345" t="str">
        <f>IFERROR(VLOOKUP(A56,'자율관 배정 R1'!$B:$F,7,FALSE)&amp;"","")</f>
        <v/>
      </c>
      <c r="D56" s="327" t="str">
        <f>IFERROR(VLOOKUP(A56,'자율관 배정 R1'!$B:$G,8,FALSE)&amp;"","")</f>
        <v/>
      </c>
      <c r="E56" s="327"/>
      <c r="F56" s="355" t="str">
        <f>IFERROR(VLOOKUP(F55,'자율관 배정 R1'!$B:$F,3,FALSE)&amp;"("&amp;VLOOKUP(F55,'자율관 배정 R1'!$B:$E,2,FALSE)&amp;")","")</f>
        <v>박성민(5)</v>
      </c>
      <c r="G56" s="250" t="str">
        <f>IFERROR(VLOOKUP(G55,'자율관 배정 R1'!$B:$F,3,FALSE)&amp;"("&amp;VLOOKUP(G55,'자율관 배정 R1'!$B:$E,2,FALSE)&amp;")","")</f>
        <v>최치민(8)</v>
      </c>
      <c r="H56" s="365" t="str">
        <f>IFERROR(VLOOKUP(H55,'자율관 배정 R1'!$B:$F,3,FALSE)&amp;"("&amp;VLOOKUP(H55,'자율관 배정 R1'!$B:$E,2,FALSE)&amp;")","")</f>
        <v>노진(5)</v>
      </c>
      <c r="I56" s="336"/>
      <c r="J56" s="290" t="s">
        <v>1392</v>
      </c>
      <c r="K56" s="290" t="s">
        <v>1391</v>
      </c>
      <c r="L56" s="290" t="s">
        <v>1390</v>
      </c>
      <c r="M56" s="290" t="s">
        <v>207</v>
      </c>
      <c r="N56" s="290" t="s">
        <v>208</v>
      </c>
      <c r="O56" s="290" t="s">
        <v>209</v>
      </c>
      <c r="P56" s="303"/>
      <c r="Q56" s="291"/>
      <c r="R56" s="291"/>
      <c r="S56" s="291"/>
      <c r="T56" s="298"/>
      <c r="U56" s="250" t="str">
        <f>IFERROR(VLOOKUP(U55,'자율관 배정 R1'!$B:$F,3,FALSE)&amp;"("&amp;VLOOKUP(U55,'자율관 배정 R1'!$B:$E,2,FALSE)&amp;")","")</f>
        <v>이서영(10)</v>
      </c>
      <c r="V56" s="250" t="str">
        <f>IFERROR(VLOOKUP(V55,'자율관 배정 R1'!$B:$F,3,FALSE)&amp;"("&amp;VLOOKUP(V55,'자율관 배정 R1'!$B:$E,2,FALSE)&amp;")","")</f>
        <v>장소정(11)</v>
      </c>
      <c r="W56" s="250" t="str">
        <f>IFERROR(VLOOKUP(W55,'자율관 배정 R1'!$B:$F,3,FALSE)&amp;"("&amp;VLOOKUP(W55,'자율관 배정 R1'!$B:$E,2,FALSE)&amp;")","")</f>
        <v>정하윤(10)</v>
      </c>
      <c r="X56" s="250" t="str">
        <f>IFERROR(VLOOKUP(X55,'자율관 배정 R1'!$B:$F,3,FALSE)&amp;"("&amp;VLOOKUP(X55,'자율관 배정 R1'!$B:$E,2,FALSE)&amp;")","")</f>
        <v>정희영(11)</v>
      </c>
      <c r="Y56" s="250" t="str">
        <f>IFERROR(VLOOKUP(Y55,'자율관 배정 R1'!$B:$F,3,FALSE)&amp;"("&amp;VLOOKUP(Y55,'자율관 배정 R1'!$B:$E,2,FALSE)&amp;")","")</f>
        <v>진아현(10)</v>
      </c>
      <c r="Z56" s="250" t="str">
        <f>IFERROR(VLOOKUP(Z55,'자율관 배정 R1'!$B:$F,3,FALSE)&amp;"("&amp;VLOOKUP(Z55,'자율관 배정 R1'!$B:$E,2,FALSE)&amp;")","")</f>
        <v>최시아(11)</v>
      </c>
      <c r="AA56" s="260"/>
      <c r="AB56" s="250" t="str">
        <f>IFERROR(VLOOKUP(AB55,'자율관 배정 R1'!$B:$F,3,FALSE)&amp;"("&amp;VLOOKUP(AB55,'자율관 배정 R1'!$B:$E,2,FALSE)&amp;")","")</f>
        <v>최하은(10)</v>
      </c>
      <c r="AC56" s="260"/>
      <c r="AD56" s="241" t="str">
        <f>IFERROR(VLOOKUP(AD54,'자율관 배정 R1'!$B:$G,8,FALSE)&amp;"","")</f>
        <v/>
      </c>
      <c r="AE56" s="250" t="str">
        <f>IFERROR(VLOOKUP(AE55,'자율관 배정 R1'!$B:$F,3,FALSE)&amp;"("&amp;VLOOKUP(AE55,'자율관 배정 R1'!$B:$E,2,FALSE)&amp;")","")</f>
        <v>강유나(12)</v>
      </c>
      <c r="AF56" s="250" t="str">
        <f>IFERROR(VLOOKUP(AF55,'자율관 배정 R1'!$B:$F,3,FALSE)&amp;"("&amp;VLOOKUP(AF55,'자율관 배정 R1'!$B:$E,2,FALSE)&amp;")","")</f>
        <v>현다은(10)</v>
      </c>
    </row>
    <row r="57" spans="1:32" ht="20.100000000000001" customHeight="1" thickBot="1" x14ac:dyDescent="0.35">
      <c r="A57" s="310"/>
      <c r="B57" s="242" t="str">
        <f>IFERROR(VLOOKUP(A57,'자율관 배정 R1'!$B:$F,3,FALSE)&amp;"("&amp;VLOOKUP(A57,'자율관 배정 R1'!$B:$E,2,FALSE)&amp;")","")</f>
        <v/>
      </c>
      <c r="C57" s="345" t="str">
        <f>IFERROR(VLOOKUP(A57,'자율관 배정 R1'!$B:$F,7,FALSE)&amp;"","")</f>
        <v/>
      </c>
      <c r="D57" s="327" t="str">
        <f>IFERROR(VLOOKUP(A57,'자율관 배정 R1'!$B:$G,8,FALSE)&amp;"","")</f>
        <v/>
      </c>
      <c r="E57" s="327"/>
      <c r="F57" s="373" t="str">
        <f>IFERROR(VLOOKUP(F55,'자율관 배정 R1'!$B:$F,5,FALSE)&amp;"","")</f>
        <v>EP면학X</v>
      </c>
      <c r="G57" s="373" t="str">
        <f>IFERROR(VLOOKUP(G55,'자율관 배정 R1'!$B:$F,5,FALSE)&amp;"","")</f>
        <v>EP면학X</v>
      </c>
      <c r="H57" s="373" t="str">
        <f>IFERROR(VLOOKUP(H55,'자율관 배정 R1'!$B:$F,5,FALSE)&amp;"","")</f>
        <v>EP면학X</v>
      </c>
      <c r="I57" s="433"/>
      <c r="J57" s="250" t="str">
        <f>IFERROR(VLOOKUP(J56,'자율관 배정 R1'!$B:$F,3,FALSE)&amp;"("&amp;VLOOKUP(J56,'자율관 배정 R1'!$B:$E,2,FALSE)&amp;")","")</f>
        <v>김지율(5)</v>
      </c>
      <c r="K57" s="250" t="str">
        <f>IFERROR(VLOOKUP(K56,'자율관 배정 R1'!$B:$F,3,FALSE)&amp;"("&amp;VLOOKUP(K56,'자율관 배정 R1'!$B:$E,2,FALSE)&amp;")","")</f>
        <v>이승주(8)</v>
      </c>
      <c r="L57" s="250" t="str">
        <f>IFERROR(VLOOKUP(L56,'자율관 배정 R1'!$B:$F,3,FALSE)&amp;"("&amp;VLOOKUP(L56,'자율관 배정 R1'!$B:$E,2,FALSE)&amp;")","")</f>
        <v>이연(5)</v>
      </c>
      <c r="M57" s="250" t="str">
        <f>IFERROR(VLOOKUP(M56,'자율관 배정 R1'!$B:$F,3,FALSE)&amp;"("&amp;VLOOKUP(M56,'자율관 배정 R1'!$B:$E,2,FALSE)&amp;")","")</f>
        <v>박서진(8)</v>
      </c>
      <c r="N57" s="250" t="str">
        <f>IFERROR(VLOOKUP(N56,'자율관 배정 R1'!$B:$F,3,FALSE)&amp;"("&amp;VLOOKUP(N56,'자율관 배정 R1'!$B:$E,2,FALSE)&amp;")","")</f>
        <v>윤용수(5)</v>
      </c>
      <c r="O57" s="250" t="str">
        <f>IFERROR(VLOOKUP(O56,'자율관 배정 R1'!$B:$F,3,FALSE)&amp;"("&amp;VLOOKUP(O56,'자율관 배정 R1'!$B:$E,2,FALSE)&amp;")","")</f>
        <v>박상현(1)</v>
      </c>
      <c r="P57" s="303"/>
      <c r="Q57" s="291"/>
      <c r="R57" s="291"/>
      <c r="S57" s="291"/>
      <c r="T57" s="298"/>
      <c r="U57" s="358" t="str">
        <f>IFERROR(VLOOKUP(U55,'자율관 배정 R1'!$B:$F,5,FALSE)&amp;"","")</f>
        <v>EP면학X</v>
      </c>
      <c r="V57" s="358" t="str">
        <f>IFERROR(VLOOKUP(V55,'자율관 배정 R1'!$B:$F,5,FALSE)&amp;"","")</f>
        <v>기숙사</v>
      </c>
      <c r="W57" s="358" t="str">
        <f>IFERROR(VLOOKUP(W55,'자율관 배정 R1'!$B:$F,5,FALSE)&amp;"","")</f>
        <v>EP면학X</v>
      </c>
      <c r="X57" s="358" t="str">
        <f>IFERROR(VLOOKUP(X55,'자율관 배정 R1'!$B:$F,5,FALSE)&amp;"","")</f>
        <v>기숙사</v>
      </c>
      <c r="Y57" s="358" t="str">
        <f>IFERROR(VLOOKUP(Y55,'자율관 배정 R1'!$B:$F,5,FALSE)&amp;"","")</f>
        <v>EP면학X</v>
      </c>
      <c r="Z57" s="358" t="str">
        <f>IFERROR(VLOOKUP(Z55,'자율관 배정 R1'!$B:$F,5,FALSE)&amp;"","")</f>
        <v>기숙사</v>
      </c>
      <c r="AA57" s="260"/>
      <c r="AB57" s="358" t="str">
        <f>IFERROR(VLOOKUP(AB55,'자율관 배정 R1'!$B:$F,5,FALSE)&amp;"","")</f>
        <v>EP면학X</v>
      </c>
      <c r="AC57" s="260"/>
      <c r="AD57" s="376" t="str">
        <f>IFERROR(VLOOKUP(AD55,'자율관 배정 R1'!$B:$F,7,FALSE)&amp;"","")</f>
        <v/>
      </c>
      <c r="AE57" s="358" t="str">
        <f>IFERROR(VLOOKUP(AE55,'자율관 배정 R1'!$B:$F,5,FALSE)&amp;"","")</f>
        <v>EP면학X</v>
      </c>
      <c r="AF57" s="358" t="str">
        <f>IFERROR(VLOOKUP(AF55,'자율관 배정 R1'!$B:$F,5,FALSE)&amp;"","")</f>
        <v>EP면학X</v>
      </c>
    </row>
    <row r="58" spans="1:32" ht="20.100000000000001" customHeight="1" thickBot="1" x14ac:dyDescent="0.35">
      <c r="A58" s="310"/>
      <c r="B58" s="242" t="str">
        <f>IFERROR(VLOOKUP(A58,'자율관 배정 R1'!$B:$F,3,FALSE)&amp;"("&amp;VLOOKUP(A58,'자율관 배정 R1'!$B:$E,2,FALSE)&amp;")","")</f>
        <v/>
      </c>
      <c r="C58" s="345" t="str">
        <f>IFERROR(VLOOKUP(A58,'자율관 배정 R1'!$B:$F,7,FALSE)&amp;"","")</f>
        <v/>
      </c>
      <c r="D58" s="327" t="str">
        <f>IFERROR(VLOOKUP(A58,'자율관 배정 R1'!$B:$G,8,FALSE)&amp;"","")</f>
        <v/>
      </c>
      <c r="E58" s="327"/>
      <c r="F58" s="242"/>
      <c r="G58" s="242"/>
      <c r="H58" s="242"/>
      <c r="I58" s="336"/>
      <c r="J58" s="360" t="str">
        <f>IFERROR(VLOOKUP(J56,'자율관 배정 R1'!$B:$F,5,FALSE)&amp;"","")</f>
        <v>EP면학X</v>
      </c>
      <c r="K58" s="360" t="str">
        <f>IFERROR(VLOOKUP(K56,'자율관 배정 R1'!$B:$F,5,FALSE)&amp;"","")</f>
        <v>EP면학X</v>
      </c>
      <c r="L58" s="360" t="str">
        <f>IFERROR(VLOOKUP(L56,'자율관 배정 R1'!$B:$F,5,FALSE)&amp;"","")</f>
        <v>EP면학X</v>
      </c>
      <c r="M58" s="360" t="str">
        <f>IFERROR(VLOOKUP(M56,'자율관 배정 R1'!$B:$F,5,FALSE)&amp;"","")</f>
        <v>EP면학X</v>
      </c>
      <c r="N58" s="360" t="str">
        <f>IFERROR(VLOOKUP(N56,'자율관 배정 R1'!$B:$F,5,FALSE)&amp;"","")</f>
        <v>EP면학X</v>
      </c>
      <c r="O58" s="360" t="str">
        <f>IFERROR(VLOOKUP(O56,'자율관 배정 R1'!$B:$F,5,FALSE)&amp;"","")</f>
        <v>EP면학X</v>
      </c>
      <c r="P58" s="435"/>
      <c r="Q58" s="291"/>
      <c r="R58" s="291"/>
      <c r="S58" s="291"/>
      <c r="T58" s="298"/>
      <c r="U58" s="305" t="s">
        <v>109</v>
      </c>
      <c r="V58" s="305" t="s">
        <v>110</v>
      </c>
      <c r="W58" s="305" t="s">
        <v>111</v>
      </c>
      <c r="X58" s="305" t="s">
        <v>112</v>
      </c>
      <c r="Y58" s="305" t="s">
        <v>113</v>
      </c>
      <c r="Z58" s="305" t="s">
        <v>114</v>
      </c>
      <c r="AA58" s="260"/>
      <c r="AB58" s="305" t="s">
        <v>115</v>
      </c>
      <c r="AC58" s="305" t="s">
        <v>116</v>
      </c>
      <c r="AD58" s="305" t="s">
        <v>117</v>
      </c>
      <c r="AE58" s="305" t="s">
        <v>118</v>
      </c>
      <c r="AF58" s="305" t="s">
        <v>119</v>
      </c>
    </row>
    <row r="59" spans="1:32" ht="20.100000000000001" customHeight="1" thickBot="1" x14ac:dyDescent="0.35">
      <c r="A59" s="289" t="s">
        <v>1452</v>
      </c>
      <c r="B59" s="249" t="str">
        <f>IFERROR(VLOOKUP(A59,'자율관 배정 R1'!$B:$F,3,FALSE)&amp;"("&amp;VLOOKUP(A59,'자율관 배정 R1'!$B:$E,2,FALSE)&amp;")","")</f>
        <v>홍이룸(11)</v>
      </c>
      <c r="C59" s="384" t="str">
        <f>IFERROR(VLOOKUP(A59,'자율관 배정 R1'!$B:$F,5,FALSE)&amp;"","")</f>
        <v>EP면학X</v>
      </c>
      <c r="D59" s="327" t="str">
        <f>IFERROR(VLOOKUP(A59,'자율관 배정 R1'!$B:$G,8,FALSE)&amp;"","")</f>
        <v/>
      </c>
      <c r="E59" s="327"/>
      <c r="F59" s="290" t="s">
        <v>219</v>
      </c>
      <c r="G59" s="290" t="s">
        <v>220</v>
      </c>
      <c r="H59" s="290" t="s">
        <v>221</v>
      </c>
      <c r="I59" s="336"/>
      <c r="J59" s="353" t="s">
        <v>213</v>
      </c>
      <c r="K59" s="388" t="s">
        <v>1389</v>
      </c>
      <c r="L59" s="353" t="s">
        <v>1388</v>
      </c>
      <c r="M59" s="388" t="s">
        <v>1387</v>
      </c>
      <c r="N59" s="353" t="s">
        <v>217</v>
      </c>
      <c r="O59" s="387" t="s">
        <v>218</v>
      </c>
      <c r="P59" s="303"/>
      <c r="Q59" s="277"/>
      <c r="R59" s="277"/>
      <c r="S59" s="277"/>
      <c r="T59" s="298"/>
      <c r="U59" s="250" t="str">
        <f>IFERROR(VLOOKUP(U58,'자율관 배정 R1'!$B:$F,3,FALSE)&amp;"("&amp;VLOOKUP(U58,'자율관 배정 R1'!$B:$E,2,FALSE)&amp;")","")</f>
        <v>김민솔(12)</v>
      </c>
      <c r="V59" s="250" t="str">
        <f>IFERROR(VLOOKUP(V58,'자율관 배정 R1'!$B:$F,3,FALSE)&amp;"("&amp;VLOOKUP(V58,'자율관 배정 R1'!$B:$E,2,FALSE)&amp;")","")</f>
        <v>기승하(11)</v>
      </c>
      <c r="W59" s="250" t="str">
        <f>IFERROR(VLOOKUP(W58,'자율관 배정 R1'!$B:$F,3,FALSE)&amp;"("&amp;VLOOKUP(W58,'자율관 배정 R1'!$B:$E,2,FALSE)&amp;")","")</f>
        <v>김보민(12)</v>
      </c>
      <c r="X59" s="250" t="str">
        <f>IFERROR(VLOOKUP(X58,'자율관 배정 R1'!$B:$F,3,FALSE)&amp;"("&amp;VLOOKUP(X58,'자율관 배정 R1'!$B:$E,2,FALSE)&amp;")","")</f>
        <v>김나연(11)</v>
      </c>
      <c r="Y59" s="250" t="str">
        <f>IFERROR(VLOOKUP(Y58,'자율관 배정 R1'!$B:$F,3,FALSE)&amp;"("&amp;VLOOKUP(Y58,'자율관 배정 R1'!$B:$E,2,FALSE)&amp;")","")</f>
        <v>김지안(12)</v>
      </c>
      <c r="Z59" s="250" t="str">
        <f>IFERROR(VLOOKUP(Z58,'자율관 배정 R1'!$B:$F,3,FALSE)&amp;"("&amp;VLOOKUP(Z58,'자율관 배정 R1'!$B:$E,2,FALSE)&amp;")","")</f>
        <v>김다현(11)</v>
      </c>
      <c r="AA59" s="260"/>
      <c r="AB59" s="250" t="str">
        <f>IFERROR(VLOOKUP(AB58,'자율관 배정 R1'!$B:$F,3,FALSE)&amp;"("&amp;VLOOKUP(AB58,'자율관 배정 R1'!$B:$E,2,FALSE)&amp;")","")</f>
        <v>류희주(12)</v>
      </c>
      <c r="AC59" s="250" t="str">
        <f>IFERROR(VLOOKUP(AC58,'자율관 배정 R1'!$B:$F,3,FALSE)&amp;"("&amp;VLOOKUP(AC58,'자율관 배정 R1'!$B:$E,2,FALSE)&amp;")","")</f>
        <v>김서현(11)</v>
      </c>
      <c r="AD59" s="250" t="str">
        <f>IFERROR(VLOOKUP(AD58,'자율관 배정 R1'!$B:$F,3,FALSE)&amp;"("&amp;VLOOKUP(AD58,'자율관 배정 R1'!$B:$E,2,FALSE)&amp;")","")</f>
        <v>박채영(12)</v>
      </c>
      <c r="AE59" s="250" t="str">
        <f>IFERROR(VLOOKUP(AE58,'자율관 배정 R1'!$B:$F,3,FALSE)&amp;"("&amp;VLOOKUP(AE58,'자율관 배정 R1'!$B:$E,2,FALSE)&amp;")","")</f>
        <v>김유은(11)</v>
      </c>
      <c r="AF59" s="250" t="str">
        <f>IFERROR(VLOOKUP(AF58,'자율관 배정 R1'!$B:$F,3,FALSE)&amp;"("&amp;VLOOKUP(AF58,'자율관 배정 R1'!$B:$E,2,FALSE)&amp;")","")</f>
        <v>백지윤(12)</v>
      </c>
    </row>
    <row r="60" spans="1:32" ht="20.100000000000001" customHeight="1" thickBot="1" x14ac:dyDescent="0.35">
      <c r="A60" s="289" t="s">
        <v>1424</v>
      </c>
      <c r="B60" s="249" t="str">
        <f>IFERROR(VLOOKUP(A60,'자율관 배정 R1'!$B:$F,3,FALSE)&amp;"("&amp;VLOOKUP(A60,'자율관 배정 R1'!$B:$E,2,FALSE)&amp;")","")</f>
        <v>조우현(12)</v>
      </c>
      <c r="C60" s="384" t="str">
        <f>IFERROR(VLOOKUP(A60,'자율관 배정 R1'!$B:$F,5,FALSE)&amp;"","")</f>
        <v>기숙사</v>
      </c>
      <c r="D60" s="327" t="str">
        <f>IFERROR(VLOOKUP(A60,'자율관 배정 R1'!$B:$G,8,FALSE)&amp;"","")</f>
        <v/>
      </c>
      <c r="E60" s="327"/>
      <c r="F60" s="250" t="str">
        <f>IFERROR(VLOOKUP(F59,'자율관 배정 R1'!$B:$F,3,FALSE)&amp;"("&amp;VLOOKUP(F59,'자율관 배정 R1'!$B:$E,2,FALSE)&amp;")","")</f>
        <v>조석현(4)</v>
      </c>
      <c r="G60" s="250" t="str">
        <f>IFERROR(VLOOKUP(G59,'자율관 배정 R1'!$B:$F,3,FALSE)&amp;"("&amp;VLOOKUP(G59,'자율관 배정 R1'!$B:$E,2,FALSE)&amp;")","")</f>
        <v>성재용(8)</v>
      </c>
      <c r="H60" s="250" t="str">
        <f>IFERROR(VLOOKUP(H59,'자율관 배정 R1'!$B:$F,3,FALSE)&amp;"("&amp;VLOOKUP(H59,'자율관 배정 R1'!$B:$E,2,FALSE)&amp;")","")</f>
        <v>박채환(1)</v>
      </c>
      <c r="I60" s="336"/>
      <c r="J60" s="389" t="str">
        <f>IFERROR(VLOOKUP(J59,'자율관 배정 R1'!$B:$F,3,FALSE)&amp;"("&amp;VLOOKUP(J59,'자율관 배정 R1'!$B:$E,2,FALSE)&amp;")","")</f>
        <v>문재희(1)</v>
      </c>
      <c r="K60" s="390" t="str">
        <f>IFERROR(VLOOKUP(K59,'자율관 배정 R1'!$B:$F,3,FALSE)&amp;"("&amp;VLOOKUP(K59,'자율관 배정 R1'!$B:$E,2,FALSE)&amp;")","")</f>
        <v>김희수(5)</v>
      </c>
      <c r="L60" s="389" t="str">
        <f>IFERROR(VLOOKUP(L59,'자율관 배정 R1'!$B:$F,3,FALSE)&amp;"("&amp;VLOOKUP(L59,'자율관 배정 R1'!$B:$E,2,FALSE)&amp;")","")</f>
        <v>김진호(8)</v>
      </c>
      <c r="M60" s="390" t="str">
        <f>IFERROR(VLOOKUP(M59,'자율관 배정 R1'!$B:$F,3,FALSE)&amp;"("&amp;VLOOKUP(M59,'자율관 배정 R1'!$B:$E,2,FALSE)&amp;")","")</f>
        <v>김승언(5)</v>
      </c>
      <c r="N60" s="389" t="str">
        <f>IFERROR(VLOOKUP(N59,'자율관 배정 R1'!$B:$F,3,FALSE)&amp;"("&amp;VLOOKUP(N59,'자율관 배정 R1'!$B:$E,2,FALSE)&amp;")","")</f>
        <v>홍정원(7)</v>
      </c>
      <c r="O60" s="391" t="str">
        <f>IFERROR(VLOOKUP(O59,'자율관 배정 R1'!$B:$F,3,FALSE)&amp;"("&amp;VLOOKUP(O59,'자율관 배정 R1'!$B:$E,2,FALSE)&amp;")","")</f>
        <v>김세현(5)</v>
      </c>
      <c r="P60" s="303"/>
      <c r="Q60" s="277"/>
      <c r="R60" s="277"/>
      <c r="S60" s="277"/>
      <c r="T60" s="298"/>
      <c r="U60" s="357" t="str">
        <f>IFERROR(VLOOKUP(U58,'자율관 배정 R1'!$B:$F,5,FALSE)&amp;"","")</f>
        <v>월화수목</v>
      </c>
      <c r="V60" s="357" t="str">
        <f>IFERROR(VLOOKUP(V58,'자율관 배정 R1'!$B:$F,5,FALSE)&amp;"","")</f>
        <v>EP면학X</v>
      </c>
      <c r="W60" s="357" t="str">
        <f>IFERROR(VLOOKUP(W58,'자율관 배정 R1'!$B:$F,5,FALSE)&amp;"","")</f>
        <v>기숙사</v>
      </c>
      <c r="X60" s="357" t="str">
        <f>IFERROR(VLOOKUP(X58,'자율관 배정 R1'!$B:$F,5,FALSE)&amp;"","")</f>
        <v>월화수목</v>
      </c>
      <c r="Y60" s="357" t="str">
        <f>IFERROR(VLOOKUP(Y58,'자율관 배정 R1'!$B:$F,5,FALSE)&amp;"","")</f>
        <v>EP면학X</v>
      </c>
      <c r="Z60" s="439" t="str">
        <f>IFERROR(VLOOKUP(Z58,'자율관 배정 R1'!$B:$F,5,FALSE)&amp;"","")</f>
        <v>EP면학X</v>
      </c>
      <c r="AA60" s="315"/>
      <c r="AB60" s="358" t="str">
        <f>IFERROR(VLOOKUP(AB58,'자율관 배정 R1'!$B:$F,5,FALSE)&amp;"","")</f>
        <v>월화수목</v>
      </c>
      <c r="AC60" s="358" t="str">
        <f>IFERROR(VLOOKUP(AC58,'자율관 배정 R1'!$B:$F,5,FALSE)&amp;"","")</f>
        <v>EP면학X</v>
      </c>
      <c r="AD60" s="358" t="str">
        <f>IFERROR(VLOOKUP(AD58,'자율관 배정 R1'!$B:$F,5,FALSE)&amp;"","")</f>
        <v>월화수목</v>
      </c>
      <c r="AE60" s="358" t="str">
        <f>IFERROR(VLOOKUP(AE58,'자율관 배정 R1'!$B:$F,5,FALSE)&amp;"","")</f>
        <v>EP면학X</v>
      </c>
      <c r="AF60" s="358" t="str">
        <f>IFERROR(VLOOKUP(AF58,'자율관 배정 R1'!$B:$F,5,FALSE)&amp;"","")</f>
        <v>기숙사</v>
      </c>
    </row>
    <row r="61" spans="1:32" ht="20.100000000000001" customHeight="1" thickBot="1" x14ac:dyDescent="0.35">
      <c r="A61" s="289" t="s">
        <v>1425</v>
      </c>
      <c r="B61" s="249" t="str">
        <f>IFERROR(VLOOKUP(A61,'자율관 배정 R1'!$B:$F,3,FALSE)&amp;"("&amp;VLOOKUP(A61,'자율관 배정 R1'!$B:$E,2,FALSE)&amp;")","")</f>
        <v>안형규(12)</v>
      </c>
      <c r="C61" s="384" t="str">
        <f>IFERROR(VLOOKUP(A61,'자율관 배정 R1'!$B:$F,5,FALSE)&amp;"","")</f>
        <v>EP면학X</v>
      </c>
      <c r="D61" s="327" t="str">
        <f>IFERROR(VLOOKUP(A61,'자율관 배정 R1'!$B:$G,8,FALSE)&amp;"","")</f>
        <v/>
      </c>
      <c r="E61" s="337"/>
      <c r="F61" s="358" t="str">
        <f>IFERROR(VLOOKUP(F59,'자율관 배정 R1'!$B:$F,5,FALSE)&amp;"","")</f>
        <v>EP면학X</v>
      </c>
      <c r="G61" s="358" t="str">
        <f>IFERROR(VLOOKUP(G59,'자율관 배정 R1'!$B:$F,5,FALSE)&amp;"","")</f>
        <v>EP면학X</v>
      </c>
      <c r="H61" s="358" t="str">
        <f>IFERROR(VLOOKUP(H59,'자율관 배정 R1'!$B:$F,5,FALSE)&amp;"","")</f>
        <v>EP면학X</v>
      </c>
      <c r="I61" s="336"/>
      <c r="J61" s="358" t="str">
        <f>IFERROR(VLOOKUP(J59,'자율관 배정 R1'!$B:$F,5,FALSE)&amp;"","")</f>
        <v>EP면학X</v>
      </c>
      <c r="K61" s="358" t="str">
        <f>IFERROR(VLOOKUP(K59,'자율관 배정 R1'!$B:$F,5,FALSE)&amp;"","")</f>
        <v>EP면학X</v>
      </c>
      <c r="L61" s="358" t="str">
        <f>IFERROR(VLOOKUP(L59,'자율관 배정 R1'!$B:$F,5,FALSE)&amp;"","")</f>
        <v>EP면학X</v>
      </c>
      <c r="M61" s="358" t="str">
        <f>IFERROR(VLOOKUP(M59,'자율관 배정 R1'!$B:$F,5,FALSE)&amp;"","")</f>
        <v>EP면학X</v>
      </c>
      <c r="N61" s="358" t="str">
        <f>IFERROR(VLOOKUP(N59,'자율관 배정 R1'!$B:$F,5,FALSE)&amp;"","")</f>
        <v>EP면학X</v>
      </c>
      <c r="O61" s="358" t="str">
        <f>IFERROR(VLOOKUP(O59,'자율관 배정 R1'!$B:$F,5,FALSE)&amp;"","")</f>
        <v>EP면학X</v>
      </c>
      <c r="P61" s="297"/>
      <c r="Q61" s="277"/>
      <c r="R61" s="277"/>
      <c r="S61" s="277"/>
      <c r="T61" s="525" t="s">
        <v>1542</v>
      </c>
      <c r="U61" s="260"/>
      <c r="V61" s="260"/>
      <c r="W61" s="260"/>
      <c r="X61" s="260"/>
      <c r="Y61" s="260"/>
      <c r="Z61" s="260"/>
      <c r="AA61" s="315"/>
      <c r="AB61" s="260"/>
      <c r="AC61" s="260"/>
      <c r="AD61" s="260"/>
      <c r="AE61" s="260"/>
      <c r="AF61" s="457"/>
    </row>
    <row r="62" spans="1:32" ht="20.100000000000001" customHeight="1" thickBot="1" x14ac:dyDescent="0.35">
      <c r="A62" s="294" t="s">
        <v>1426</v>
      </c>
      <c r="B62" s="249" t="str">
        <f>IFERROR(VLOOKUP(A62,'자율관 배정 R1'!$B:$F,3,FALSE)&amp;"("&amp;VLOOKUP(A62,'자율관 배정 R1'!$B:$E,2,FALSE)&amp;")","")</f>
        <v>최재원(12)</v>
      </c>
      <c r="C62" s="384" t="str">
        <f>IFERROR(VLOOKUP(A62,'자율관 배정 R1'!$B:$F,5,FALSE)&amp;"","")</f>
        <v>기숙사</v>
      </c>
      <c r="D62" s="327" t="str">
        <f>IFERROR(VLOOKUP(A62,'자율관 배정 R1'!$B:$G,8,FALSE)&amp;"","")</f>
        <v/>
      </c>
      <c r="E62" s="337"/>
      <c r="F62" s="289" t="s">
        <v>222</v>
      </c>
      <c r="G62" s="290" t="s">
        <v>1386</v>
      </c>
      <c r="H62" s="369" t="s">
        <v>1385</v>
      </c>
      <c r="I62" s="336"/>
      <c r="J62" s="242"/>
      <c r="K62" s="242"/>
      <c r="L62" s="242"/>
      <c r="M62" s="242"/>
      <c r="N62" s="242"/>
      <c r="O62" s="242"/>
      <c r="P62" s="297"/>
      <c r="Q62" s="277"/>
      <c r="R62" s="277"/>
      <c r="S62" s="277"/>
      <c r="T62" s="526"/>
      <c r="U62" s="260"/>
      <c r="V62" s="302" t="s">
        <v>120</v>
      </c>
      <c r="W62" s="302" t="s">
        <v>121</v>
      </c>
      <c r="X62" s="302" t="s">
        <v>122</v>
      </c>
      <c r="Y62" s="393" t="s">
        <v>123</v>
      </c>
      <c r="Z62" s="302" t="s">
        <v>124</v>
      </c>
      <c r="AA62" s="315"/>
      <c r="AB62" s="305" t="s">
        <v>125</v>
      </c>
      <c r="AC62" s="305" t="s">
        <v>126</v>
      </c>
      <c r="AD62" s="305" t="s">
        <v>127</v>
      </c>
      <c r="AE62" s="305" t="s">
        <v>128</v>
      </c>
      <c r="AF62" s="305" t="s">
        <v>129</v>
      </c>
    </row>
    <row r="63" spans="1:32" ht="20.100000000000001" customHeight="1" thickBot="1" x14ac:dyDescent="0.35">
      <c r="A63" s="310"/>
      <c r="B63" s="260"/>
      <c r="C63" s="260"/>
      <c r="D63" s="260"/>
      <c r="E63" s="337"/>
      <c r="F63" s="355" t="str">
        <f>IFERROR(VLOOKUP(F62,'자율관 배정 R1'!$B:$F,3,FALSE)&amp;"("&amp;VLOOKUP(F62,'자율관 배정 R1'!$B:$E,2,FALSE)&amp;")","")</f>
        <v>이후민(4)</v>
      </c>
      <c r="G63" s="250" t="str">
        <f>IFERROR(VLOOKUP(G62,'자율관 배정 R1'!$B:$F,3,FALSE)&amp;"("&amp;VLOOKUP(G62,'자율관 배정 R1'!$B:$E,2,FALSE)&amp;")","")</f>
        <v>고은율(8)</v>
      </c>
      <c r="H63" s="365" t="str">
        <f>IFERROR(VLOOKUP(H62,'자율관 배정 R1'!$B:$F,3,FALSE)&amp;"("&amp;VLOOKUP(H62,'자율관 배정 R1'!$B:$E,2,FALSE)&amp;")","")</f>
        <v>이현진(4)</v>
      </c>
      <c r="I63" s="336"/>
      <c r="J63" s="242"/>
      <c r="K63" s="242"/>
      <c r="L63" s="242"/>
      <c r="M63" s="242"/>
      <c r="N63" s="242"/>
      <c r="O63" s="242"/>
      <c r="P63" s="297"/>
      <c r="Q63" s="531" t="s">
        <v>1</v>
      </c>
      <c r="R63" s="277"/>
      <c r="S63" s="277"/>
      <c r="T63" s="527"/>
      <c r="U63" s="207"/>
      <c r="V63" s="250" t="str">
        <f>IFERROR(VLOOKUP(V62,'자율관 배정 R1'!$B:$F,3,FALSE)&amp;"("&amp;VLOOKUP(V62,'자율관 배정 R1'!$B:$E,2,FALSE)&amp;")","")</f>
        <v>박지민(11)</v>
      </c>
      <c r="W63" s="250" t="str">
        <f>IFERROR(VLOOKUP(W62,'자율관 배정 R1'!$B:$F,3,FALSE)&amp;"("&amp;VLOOKUP(W62,'자율관 배정 R1'!$B:$E,2,FALSE)&amp;")","")</f>
        <v>신은서(12)</v>
      </c>
      <c r="X63" s="250" t="str">
        <f>IFERROR(VLOOKUP(X62,'자율관 배정 R1'!$B:$F,3,FALSE)&amp;"("&amp;VLOOKUP(X62,'자율관 배정 R1'!$B:$E,2,FALSE)&amp;")","")</f>
        <v>안현빈(11)</v>
      </c>
      <c r="Y63" s="355" t="str">
        <f>IFERROR(VLOOKUP(Y62,'자율관 배정 R1'!$B:$F,3,FALSE)&amp;"("&amp;VLOOKUP(Y62,'자율관 배정 R1'!$B:$E,2,FALSE)&amp;")","")</f>
        <v>윤시아(12)</v>
      </c>
      <c r="Z63" s="250" t="str">
        <f>IFERROR(VLOOKUP(Z62,'자율관 배정 R1'!$B:$F,3,FALSE)&amp;"("&amp;VLOOKUP(Z62,'자율관 배정 R1'!$B:$E,2,FALSE)&amp;")","")</f>
        <v>이정음(11)</v>
      </c>
      <c r="AA63" s="315"/>
      <c r="AB63" s="250" t="str">
        <f>IFERROR(VLOOKUP(AB62,'자율관 배정 R1'!$B:$F,3,FALSE)&amp;"("&amp;VLOOKUP(AB62,'자율관 배정 R1'!$B:$E,2,FALSE)&amp;")","")</f>
        <v>전소윤(11)</v>
      </c>
      <c r="AC63" s="250" t="str">
        <f>IFERROR(VLOOKUP(AC62,'자율관 배정 R1'!$B:$F,3,FALSE)&amp;"("&amp;VLOOKUP(AC62,'자율관 배정 R1'!$B:$E,2,FALSE)&amp;")","")</f>
        <v>박주혜(12)</v>
      </c>
      <c r="AD63" s="250" t="str">
        <f>IFERROR(VLOOKUP(AD62,'자율관 배정 R1'!$B:$F,3,FALSE)&amp;"("&amp;VLOOKUP(AD62,'자율관 배정 R1'!$B:$E,2,FALSE)&amp;")","")</f>
        <v>우효아(4)</v>
      </c>
      <c r="AE63" s="250" t="str">
        <f>IFERROR(VLOOKUP(AE62,'자율관 배정 R1'!$B:$F,3,FALSE)&amp;"("&amp;VLOOKUP(AE62,'자율관 배정 R1'!$B:$E,2,FALSE)&amp;")","")</f>
        <v>조유진(11)</v>
      </c>
      <c r="AF63" s="250" t="str">
        <f>IFERROR(VLOOKUP(AF62,'자율관 배정 R1'!$B:$F,3,FALSE)&amp;"("&amp;VLOOKUP(AF62,'자율관 배정 R1'!$B:$E,2,FALSE)&amp;")","")</f>
        <v>서지우(12)</v>
      </c>
    </row>
    <row r="64" spans="1:32" ht="20.100000000000001" customHeight="1" thickBot="1" x14ac:dyDescent="0.35">
      <c r="A64" s="300"/>
      <c r="B64" s="277"/>
      <c r="C64" s="337"/>
      <c r="D64" s="337"/>
      <c r="E64" s="337"/>
      <c r="F64" s="392" t="str">
        <f>IFERROR(VLOOKUP(F62,'자율관 배정 R1'!$B:$F,5,FALSE)&amp;"","")</f>
        <v>EP면학X</v>
      </c>
      <c r="G64" s="392" t="str">
        <f>IFERROR(VLOOKUP(G62,'자율관 배정 R1'!$B:$F,5,FALSE)&amp;"","")</f>
        <v>EP면학X</v>
      </c>
      <c r="H64" s="392" t="str">
        <f>IFERROR(VLOOKUP(H62,'자율관 배정 R1'!$B:$F,5,FALSE)&amp;"","")</f>
        <v>EP면학X</v>
      </c>
      <c r="I64" s="434"/>
      <c r="J64" s="242"/>
      <c r="K64" s="242"/>
      <c r="L64" s="242"/>
      <c r="M64" s="242"/>
      <c r="N64" s="242"/>
      <c r="O64" s="242"/>
      <c r="P64" s="297"/>
      <c r="Q64" s="532"/>
      <c r="R64" s="277"/>
      <c r="S64" s="277"/>
      <c r="T64" s="277"/>
      <c r="U64" s="299"/>
      <c r="V64" s="358" t="str">
        <f>IFERROR(VLOOKUP(V62,'자율관 배정 R1'!$B:$F,5,FALSE)&amp;"","")</f>
        <v>EP면학X</v>
      </c>
      <c r="W64" s="358" t="str">
        <f>IFERROR(VLOOKUP(W62,'자율관 배정 R1'!$B:$F,5,FALSE)&amp;"","")</f>
        <v>기숙사</v>
      </c>
      <c r="X64" s="358" t="str">
        <f>IFERROR(VLOOKUP(X62,'자율관 배정 R1'!$B:$F,5,FALSE)&amp;"","")</f>
        <v>EP면학X</v>
      </c>
      <c r="Y64" s="358" t="str">
        <f>IFERROR(VLOOKUP(Y62,'자율관 배정 R1'!$B:$F,5,FALSE)&amp;"","")</f>
        <v>기숙사</v>
      </c>
      <c r="Z64" s="358" t="str">
        <f>IFERROR(VLOOKUP(Z62,'자율관 배정 R1'!$B:$F,5,FALSE)&amp;"","")</f>
        <v>EP면학X</v>
      </c>
      <c r="AA64" s="315"/>
      <c r="AB64" s="358" t="str">
        <f>IFERROR(VLOOKUP(AB62,'자율관 배정 R1'!$B:$F,5,FALSE)&amp;"","")</f>
        <v>EP면학X</v>
      </c>
      <c r="AC64" s="358" t="str">
        <f>IFERROR(VLOOKUP(AC62,'자율관 배정 R1'!$B:$F,5,FALSE)&amp;"","")</f>
        <v>EP면학X</v>
      </c>
      <c r="AD64" s="358" t="str">
        <f>IFERROR(VLOOKUP(AD62,'자율관 배정 R1'!$B:$F,5,FALSE)&amp;"","")</f>
        <v>기숙사</v>
      </c>
      <c r="AE64" s="358" t="str">
        <f>IFERROR(VLOOKUP(AE62,'자율관 배정 R1'!$B:$F,5,FALSE)&amp;"","")</f>
        <v>EP면학X</v>
      </c>
      <c r="AF64" s="358" t="str">
        <f>IFERROR(VLOOKUP(AF62,'자율관 배정 R1'!$B:$F,5,FALSE)&amp;"","")</f>
        <v>EP면학X</v>
      </c>
    </row>
    <row r="65" spans="1:205" ht="20.100000000000001" customHeight="1" thickBot="1" x14ac:dyDescent="0.35">
      <c r="A65" s="300"/>
      <c r="B65" s="277"/>
      <c r="C65" s="337"/>
      <c r="D65" s="337"/>
      <c r="E65" s="337"/>
      <c r="F65" s="242"/>
      <c r="G65" s="242"/>
      <c r="H65" s="242"/>
      <c r="I65" s="339"/>
      <c r="J65" s="242"/>
      <c r="K65" s="242"/>
      <c r="L65" s="242"/>
      <c r="M65" s="242"/>
      <c r="N65" s="242"/>
      <c r="O65" s="242"/>
      <c r="P65" s="297"/>
      <c r="Q65" s="533"/>
      <c r="R65" s="277"/>
      <c r="S65" s="277"/>
      <c r="T65" s="277"/>
      <c r="U65" s="299"/>
      <c r="V65" s="277"/>
      <c r="W65" s="277"/>
      <c r="X65" s="277"/>
      <c r="Y65" s="277"/>
      <c r="Z65" s="305" t="s">
        <v>130</v>
      </c>
      <c r="AA65" s="315"/>
      <c r="AB65" s="306" t="s">
        <v>131</v>
      </c>
      <c r="AC65" s="305" t="s">
        <v>132</v>
      </c>
      <c r="AD65" s="366" t="s">
        <v>133</v>
      </c>
      <c r="AE65" s="305" t="s">
        <v>134</v>
      </c>
      <c r="AF65" s="362" t="s">
        <v>135</v>
      </c>
    </row>
    <row r="66" spans="1:205" ht="20.100000000000001" customHeight="1" x14ac:dyDescent="0.3">
      <c r="A66" s="300"/>
      <c r="B66" s="277"/>
      <c r="C66" s="337"/>
      <c r="D66" s="337"/>
      <c r="E66" s="337"/>
      <c r="F66" s="290" t="s">
        <v>1384</v>
      </c>
      <c r="G66" s="290" t="s">
        <v>226</v>
      </c>
      <c r="H66" s="290" t="s">
        <v>227</v>
      </c>
      <c r="I66" s="411" t="s">
        <v>1427</v>
      </c>
      <c r="J66" s="411" t="s">
        <v>1504</v>
      </c>
      <c r="K66" s="290" t="s">
        <v>1505</v>
      </c>
      <c r="L66" s="290" t="s">
        <v>231</v>
      </c>
      <c r="M66" s="290" t="s">
        <v>232</v>
      </c>
      <c r="N66" s="290" t="s">
        <v>233</v>
      </c>
      <c r="O66" s="290" t="s">
        <v>234</v>
      </c>
      <c r="P66" s="297"/>
      <c r="Q66" s="301"/>
      <c r="R66" s="277"/>
      <c r="S66" s="277"/>
      <c r="T66" s="277"/>
      <c r="U66" s="309"/>
      <c r="V66" s="277"/>
      <c r="W66" s="277"/>
      <c r="X66" s="277"/>
      <c r="Y66" s="277"/>
      <c r="Z66" s="250" t="str">
        <f>IFERROR(VLOOKUP(Z65,'자율관 배정 R1'!$B:$F,3,FALSE)&amp;"("&amp;VLOOKUP(Z65,'자율관 배정 R1'!$B:$E,2,FALSE)&amp;")","")</f>
        <v>주민하(11)</v>
      </c>
      <c r="AA66" s="315"/>
      <c r="AB66" s="355" t="str">
        <f>IFERROR(VLOOKUP(AB65,'자율관 배정 R1'!$B:$F,3,FALSE)&amp;"("&amp;VLOOKUP(AB65,'자율관 배정 R1'!$B:$E,2,FALSE)&amp;")","")</f>
        <v>우서아(12)</v>
      </c>
      <c r="AC66" s="250" t="str">
        <f>IFERROR(VLOOKUP(AC65,'자율관 배정 R1'!$B:$F,3,FALSE)&amp;"("&amp;VLOOKUP(AC65,'자율관 배정 R1'!$B:$E,2,FALSE)&amp;")","")</f>
        <v>허혜정(11)</v>
      </c>
      <c r="AD66" s="367" t="str">
        <f>IFERROR(VLOOKUP(AD65,'자율관 배정 R1'!$B:$F,3,FALSE)&amp;"("&amp;VLOOKUP(AD65,'자율관 배정 R1'!$B:$E,2,FALSE)&amp;")","")</f>
        <v>이시언(12)</v>
      </c>
      <c r="AE66" s="250" t="str">
        <f>IFERROR(VLOOKUP(AE65,'자율관 배정 R1'!$B:$F,3,FALSE)&amp;"("&amp;VLOOKUP(AE65,'자율관 배정 R1'!$B:$E,2,FALSE)&amp;")","")</f>
        <v>()</v>
      </c>
      <c r="AF66" s="365" t="str">
        <f>IFERROR(VLOOKUP(AF65,'자율관 배정 R1'!$B:$F,3,FALSE)&amp;"("&amp;VLOOKUP(AF65,'자율관 배정 R1'!$B:$E,2,FALSE)&amp;")","")</f>
        <v>임예원(12)</v>
      </c>
    </row>
    <row r="67" spans="1:205" ht="20.100000000000001" customHeight="1" thickBot="1" x14ac:dyDescent="0.35">
      <c r="A67" s="300"/>
      <c r="B67" s="277"/>
      <c r="C67" s="337"/>
      <c r="D67" s="337"/>
      <c r="E67" s="337"/>
      <c r="F67" s="250" t="str">
        <f>IFERROR(VLOOKUP(F66,'자율관 배정 R1'!$B:$F,3,FALSE)&amp;"("&amp;VLOOKUP(F66,'자율관 배정 R1'!$B:$E,2,FALSE)&amp;")","")</f>
        <v>김규진(7)</v>
      </c>
      <c r="G67" s="250" t="str">
        <f>IFERROR(VLOOKUP(G66,'자율관 배정 R1'!$B:$F,3,FALSE)&amp;"("&amp;VLOOKUP(G66,'자율관 배정 R1'!$B:$E,2,FALSE)&amp;")","")</f>
        <v>조용준(7)</v>
      </c>
      <c r="H67" s="250" t="str">
        <f>IFERROR(VLOOKUP(H66,'자율관 배정 R1'!$B:$F,3,FALSE)&amp;"("&amp;VLOOKUP(H66,'자율관 배정 R1'!$B:$E,2,FALSE)&amp;")","")</f>
        <v>이영민(3)</v>
      </c>
      <c r="I67" s="412" t="str">
        <f>IFERROR(VLOOKUP(I66,'자율관 배정 R1'!$B:$F,3,FALSE)&amp;"("&amp;VLOOKUP(I66,'자율관 배정 R1'!$B:$E,2,FALSE)&amp;")","")</f>
        <v>()</v>
      </c>
      <c r="J67" s="412" t="str">
        <f>IFERROR(VLOOKUP(J66,'자율관 배정 R1'!$B:$F,3,FALSE)&amp;"("&amp;VLOOKUP(J66,'자율관 배정 R1'!$B:$E,2,FALSE)&amp;")","")</f>
        <v>()</v>
      </c>
      <c r="K67" s="250" t="str">
        <f>IFERROR(VLOOKUP(K66,'자율관 배정 R1'!$B:$F,3,FALSE)&amp;"("&amp;VLOOKUP(K66,'자율관 배정 R1'!$B:$E,2,FALSE)&amp;")","")</f>
        <v>이상빈(3)</v>
      </c>
      <c r="L67" s="250" t="str">
        <f>IFERROR(VLOOKUP(L66,'자율관 배정 R1'!$B:$F,3,FALSE)&amp;"("&amp;VLOOKUP(L66,'자율관 배정 R1'!$B:$E,2,FALSE)&amp;")","")</f>
        <v>이서준(7)</v>
      </c>
      <c r="M67" s="250" t="str">
        <f>IFERROR(VLOOKUP(M66,'자율관 배정 R1'!$B:$F,3,FALSE)&amp;"("&amp;VLOOKUP(M66,'자율관 배정 R1'!$B:$E,2,FALSE)&amp;")","")</f>
        <v>김동혁(3)</v>
      </c>
      <c r="N67" s="250" t="str">
        <f>IFERROR(VLOOKUP(N66,'자율관 배정 R1'!$B:$F,3,FALSE)&amp;"("&amp;VLOOKUP(N66,'자율관 배정 R1'!$B:$E,2,FALSE)&amp;")","")</f>
        <v>한정윤(7)</v>
      </c>
      <c r="O67" s="250" t="str">
        <f>IFERROR(VLOOKUP(O66,'자율관 배정 R1'!$B:$F,3,FALSE)&amp;"("&amp;VLOOKUP(O66,'자율관 배정 R1'!$B:$E,2,FALSE)&amp;")","")</f>
        <v>구강현(3)</v>
      </c>
      <c r="P67" s="297"/>
      <c r="Q67" s="301"/>
      <c r="R67" s="277"/>
      <c r="S67" s="277"/>
      <c r="T67" s="277"/>
      <c r="U67" s="300"/>
      <c r="V67" s="277"/>
      <c r="W67" s="277"/>
      <c r="X67" s="277"/>
      <c r="Y67" s="277"/>
      <c r="Z67" s="374" t="str">
        <f>IFERROR(VLOOKUP(Z65,'자율관 배정 R1'!$B:$F,5,FALSE)&amp;"","")</f>
        <v>EP면학X</v>
      </c>
      <c r="AA67" s="315"/>
      <c r="AB67" s="373" t="str">
        <f>IFERROR(VLOOKUP(AB65,'자율관 배정 R1'!$B:$F,5,FALSE)&amp;"","")</f>
        <v>EP면학X</v>
      </c>
      <c r="AC67" s="373" t="str">
        <f>IFERROR(VLOOKUP(AC65,'자율관 배정 R1'!$B:$F,5,FALSE)&amp;"","")</f>
        <v>EP면학X</v>
      </c>
      <c r="AD67" s="373" t="str">
        <f>IFERROR(VLOOKUP(AD65,'자율관 배정 R1'!$B:$F,5,FALSE)&amp;"","")</f>
        <v>EP면학X</v>
      </c>
      <c r="AE67" s="373" t="str">
        <f>IFERROR(VLOOKUP(AE65,'자율관 배정 R1'!$B:$F,5,FALSE)&amp;"","")</f>
        <v/>
      </c>
      <c r="AF67" s="374" t="str">
        <f>IFERROR(VLOOKUP(AF65,'자율관 배정 R1'!$B:$F,5,FALSE)&amp;"","")</f>
        <v>기숙사</v>
      </c>
    </row>
    <row r="68" spans="1:205" ht="20.100000000000001" customHeight="1" thickBot="1" x14ac:dyDescent="0.35">
      <c r="A68" s="300"/>
      <c r="B68" s="277"/>
      <c r="C68" s="337"/>
      <c r="D68" s="337"/>
      <c r="E68" s="337"/>
      <c r="F68" s="360" t="str">
        <f>IFERROR(VLOOKUP(F66,'자율관 배정 R1'!$B:$F,5,FALSE)&amp;"","")</f>
        <v>월화수목</v>
      </c>
      <c r="G68" s="360" t="str">
        <f>IFERROR(VLOOKUP(G66,'자율관 배정 R1'!$B:$F,5,FALSE)&amp;"","")</f>
        <v>EP면학X</v>
      </c>
      <c r="H68" s="360" t="str">
        <f>IFERROR(VLOOKUP(H66,'자율관 배정 R1'!$B:$F,5,FALSE)&amp;"","")</f>
        <v>EP면학X</v>
      </c>
      <c r="I68" s="360" t="str">
        <f>IFERROR(VLOOKUP(I66,'자율관 배정 R1'!$B:$F,5,FALSE)&amp;"","")</f>
        <v/>
      </c>
      <c r="J68" s="360" t="str">
        <f>IFERROR(VLOOKUP(J66,'자율관 배정 R1'!$B:$F,5,FALSE)&amp;"","")</f>
        <v/>
      </c>
      <c r="K68" s="360" t="str">
        <f>IFERROR(VLOOKUP(K66,'자율관 배정 R1'!$B:$F,5,FALSE)&amp;"","")</f>
        <v>EP면학X</v>
      </c>
      <c r="L68" s="360" t="str">
        <f>IFERROR(VLOOKUP(L66,'자율관 배정 R1'!$B:$F,5,FALSE)&amp;"","")</f>
        <v>EP면학X</v>
      </c>
      <c r="M68" s="360" t="str">
        <f>IFERROR(VLOOKUP(M66,'자율관 배정 R1'!$B:$F,5,FALSE)&amp;"","")</f>
        <v>EP면학X</v>
      </c>
      <c r="N68" s="360" t="str">
        <f>IFERROR(VLOOKUP(N66,'자율관 배정 R1'!$B:$F,5,FALSE)&amp;"","")</f>
        <v>EP면학X</v>
      </c>
      <c r="O68" s="360" t="str">
        <f>IFERROR(VLOOKUP(O66,'자율관 배정 R1'!$B:$F,5,FALSE)&amp;"","")</f>
        <v>EP면학X</v>
      </c>
      <c r="P68" s="297"/>
      <c r="Q68" s="301"/>
      <c r="R68" s="277"/>
      <c r="S68" s="277"/>
      <c r="T68" s="277"/>
      <c r="U68" s="396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458"/>
    </row>
    <row r="69" spans="1:205" ht="20.100000000000001" customHeight="1" x14ac:dyDescent="0.3">
      <c r="A69" s="300"/>
      <c r="B69" s="327"/>
      <c r="C69" s="337"/>
      <c r="D69" s="337"/>
      <c r="E69" s="337"/>
      <c r="F69" s="295" t="s">
        <v>235</v>
      </c>
      <c r="G69" s="290" t="s">
        <v>236</v>
      </c>
      <c r="H69" s="394" t="s">
        <v>237</v>
      </c>
      <c r="I69" s="290" t="s">
        <v>1383</v>
      </c>
      <c r="J69" s="394" t="s">
        <v>1382</v>
      </c>
      <c r="K69" s="290" t="s">
        <v>1381</v>
      </c>
      <c r="L69" s="394" t="s">
        <v>241</v>
      </c>
      <c r="M69" s="290" t="s">
        <v>242</v>
      </c>
      <c r="N69" s="394" t="s">
        <v>243</v>
      </c>
      <c r="O69" s="290" t="s">
        <v>244</v>
      </c>
      <c r="P69" s="297"/>
      <c r="Q69" s="506" t="s">
        <v>12</v>
      </c>
      <c r="R69" s="507"/>
      <c r="S69" s="507"/>
      <c r="T69" s="508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97"/>
    </row>
    <row r="70" spans="1:205" ht="20.100000000000001" customHeight="1" x14ac:dyDescent="0.3">
      <c r="A70" s="300"/>
      <c r="B70" s="327"/>
      <c r="C70" s="337"/>
      <c r="D70" s="337"/>
      <c r="E70" s="337"/>
      <c r="F70" s="355" t="str">
        <f>IFERROR(VLOOKUP(F69,'자율관 배정 R1'!$B:$F,3,FALSE)&amp;"("&amp;VLOOKUP(F69,'자율관 배정 R1'!$B:$E,2,FALSE)&amp;")","")</f>
        <v>김민성(1)</v>
      </c>
      <c r="G70" s="250" t="str">
        <f>IFERROR(VLOOKUP(G69,'자율관 배정 R1'!$B:$F,3,FALSE)&amp;"("&amp;VLOOKUP(G69,'자율관 배정 R1'!$B:$E,2,FALSE)&amp;")","")</f>
        <v>이준석(2)</v>
      </c>
      <c r="H70" s="367" t="str">
        <f>IFERROR(VLOOKUP(H69,'자율관 배정 R1'!$B:$F,3,FALSE)&amp;"("&amp;VLOOKUP(H69,'자율관 배정 R1'!$B:$E,2,FALSE)&amp;")","")</f>
        <v>박상윤(7)</v>
      </c>
      <c r="I70" s="250" t="str">
        <f>IFERROR(VLOOKUP(I69,'자율관 배정 R1'!$B:$F,3,FALSE)&amp;"("&amp;VLOOKUP(I69,'자율관 배정 R1'!$B:$E,2,FALSE)&amp;")","")</f>
        <v>유호성(2)</v>
      </c>
      <c r="J70" s="367" t="str">
        <f>IFERROR(VLOOKUP(J69,'자율관 배정 R1'!$B:$F,3,FALSE)&amp;"("&amp;VLOOKUP(J69,'자율관 배정 R1'!$B:$E,2,FALSE)&amp;")","")</f>
        <v>김민상(1)</v>
      </c>
      <c r="K70" s="250" t="str">
        <f>IFERROR(VLOOKUP(K69,'자율관 배정 R1'!$B:$F,3,FALSE)&amp;"("&amp;VLOOKUP(K69,'자율관 배정 R1'!$B:$E,2,FALSE)&amp;")","")</f>
        <v>유동훈(2)</v>
      </c>
      <c r="L70" s="367" t="str">
        <f>IFERROR(VLOOKUP(L69,'자율관 배정 R1'!$B:$F,3,FALSE)&amp;"("&amp;VLOOKUP(L69,'자율관 배정 R1'!$B:$E,2,FALSE)&amp;")","")</f>
        <v>강민성(7)</v>
      </c>
      <c r="M70" s="250" t="str">
        <f>IFERROR(VLOOKUP(M69,'자율관 배정 R1'!$B:$F,3,FALSE)&amp;"("&amp;VLOOKUP(M69,'자율관 배정 R1'!$B:$E,2,FALSE)&amp;")","")</f>
        <v>오서원(2)</v>
      </c>
      <c r="N70" s="367" t="str">
        <f>IFERROR(VLOOKUP(N69,'자율관 배정 R1'!$B:$F,3,FALSE)&amp;"("&amp;VLOOKUP(N69,'자율관 배정 R1'!$B:$E,2,FALSE)&amp;")","")</f>
        <v>박민호(6)</v>
      </c>
      <c r="O70" s="250" t="str">
        <f>IFERROR(VLOOKUP(O69,'자율관 배정 R1'!$B:$F,3,FALSE)&amp;"("&amp;VLOOKUP(O69,'자율관 배정 R1'!$B:$E,2,FALSE)&amp;")","")</f>
        <v>류현찬(2)</v>
      </c>
      <c r="P70" s="297"/>
      <c r="Q70" s="509"/>
      <c r="R70" s="510"/>
      <c r="S70" s="510"/>
      <c r="T70" s="511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97"/>
    </row>
    <row r="71" spans="1:205" ht="20.100000000000001" customHeight="1" thickBot="1" x14ac:dyDescent="0.35">
      <c r="A71" s="340"/>
      <c r="B71" s="327"/>
      <c r="C71" s="327"/>
      <c r="D71" s="327"/>
      <c r="E71" s="327"/>
      <c r="F71" s="373" t="str">
        <f>IFERROR(VLOOKUP(F69,'자율관 배정 R1'!$B:$F,5,FALSE)&amp;"","")</f>
        <v>EP면학X</v>
      </c>
      <c r="G71" s="373" t="str">
        <f>IFERROR(VLOOKUP(G69,'자율관 배정 R1'!$B:$F,5,FALSE)&amp;"","")</f>
        <v>EP면학X</v>
      </c>
      <c r="H71" s="373" t="str">
        <f>IFERROR(VLOOKUP(H69,'자율관 배정 R1'!$B:$F,5,FALSE)&amp;"","")</f>
        <v>EP면학X</v>
      </c>
      <c r="I71" s="373" t="str">
        <f>IFERROR(VLOOKUP(I69,'자율관 배정 R1'!$B:$F,5,FALSE)&amp;"","")</f>
        <v>EP면학X</v>
      </c>
      <c r="J71" s="373" t="str">
        <f>IFERROR(VLOOKUP(J69,'자율관 배정 R1'!$B:$F,5,FALSE)&amp;"","")</f>
        <v>EP면학X</v>
      </c>
      <c r="K71" s="373" t="str">
        <f>IFERROR(VLOOKUP(K69,'자율관 배정 R1'!$B:$F,5,FALSE)&amp;"","")</f>
        <v>EP면학X</v>
      </c>
      <c r="L71" s="373" t="str">
        <f>IFERROR(VLOOKUP(L69,'자율관 배정 R1'!$B:$F,5,FALSE)&amp;"","")</f>
        <v>EP면학X</v>
      </c>
      <c r="M71" s="373" t="str">
        <f>IFERROR(VLOOKUP(M69,'자율관 배정 R1'!$B:$F,5,FALSE)&amp;"","")</f>
        <v>EP면학X</v>
      </c>
      <c r="N71" s="373" t="str">
        <f>IFERROR(VLOOKUP(N69,'자율관 배정 R1'!$B:$F,5,FALSE)&amp;"","")</f>
        <v>EP면학X</v>
      </c>
      <c r="O71" s="375" t="str">
        <f>IFERROR(VLOOKUP(O69,'자율관 배정 R1'!$B:$F,5,FALSE)&amp;"","")</f>
        <v>EP면학X</v>
      </c>
      <c r="P71" s="297"/>
      <c r="Q71" s="509"/>
      <c r="R71" s="510"/>
      <c r="S71" s="510"/>
      <c r="T71" s="511"/>
      <c r="U71" s="273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97"/>
    </row>
    <row r="72" spans="1:205" ht="20.100000000000001" customHeight="1" thickBot="1" x14ac:dyDescent="0.35">
      <c r="A72" s="340"/>
      <c r="B72" s="327"/>
      <c r="C72" s="327"/>
      <c r="D72" s="327"/>
      <c r="E72" s="327"/>
      <c r="F72" s="242"/>
      <c r="G72" s="242"/>
      <c r="H72" s="242"/>
      <c r="I72" s="327"/>
      <c r="J72" s="240"/>
      <c r="K72" s="243"/>
      <c r="L72" s="242"/>
      <c r="M72" s="242"/>
      <c r="N72" s="242"/>
      <c r="O72" s="242"/>
      <c r="P72" s="297"/>
      <c r="Q72" s="509"/>
      <c r="R72" s="510"/>
      <c r="S72" s="510"/>
      <c r="T72" s="511"/>
      <c r="U72" s="273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97"/>
    </row>
    <row r="73" spans="1:205" ht="20.100000000000001" customHeight="1" thickBot="1" x14ac:dyDescent="0.35">
      <c r="A73" s="340"/>
      <c r="B73" s="327"/>
      <c r="C73" s="337"/>
      <c r="D73" s="337"/>
      <c r="E73" s="290" t="s">
        <v>1539</v>
      </c>
      <c r="F73" s="290" t="s">
        <v>246</v>
      </c>
      <c r="G73" s="290" t="s">
        <v>247</v>
      </c>
      <c r="H73" s="290" t="s">
        <v>248</v>
      </c>
      <c r="I73" s="290" t="s">
        <v>249</v>
      </c>
      <c r="J73" s="290" t="s">
        <v>250</v>
      </c>
      <c r="K73" s="290" t="s">
        <v>251</v>
      </c>
      <c r="L73" s="290" t="s">
        <v>252</v>
      </c>
      <c r="M73" s="290" t="s">
        <v>253</v>
      </c>
      <c r="N73" s="290" t="s">
        <v>254</v>
      </c>
      <c r="O73" s="260"/>
      <c r="P73" s="303"/>
      <c r="Q73" s="512"/>
      <c r="R73" s="513"/>
      <c r="S73" s="513"/>
      <c r="T73" s="514"/>
      <c r="U73" s="273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97"/>
    </row>
    <row r="74" spans="1:205" ht="20.100000000000001" customHeight="1" x14ac:dyDescent="0.3">
      <c r="A74" s="340"/>
      <c r="B74" s="327"/>
      <c r="C74" s="337"/>
      <c r="D74" s="337"/>
      <c r="E74" s="250" t="str">
        <f>IFERROR(VLOOKUP(E73,'자율관 배정 R1'!$B:$F,3,FALSE)&amp;"("&amp;VLOOKUP(E73,'자율관 배정 R1'!$B:$E,2,FALSE)&amp;")","")</f>
        <v>최기현(1)</v>
      </c>
      <c r="F74" s="250" t="str">
        <f>IFERROR(VLOOKUP(F73,'자율관 배정 R1'!$B:$F,3,FALSE)&amp;"("&amp;VLOOKUP(F73,'자율관 배정 R1'!$B:$E,2,FALSE)&amp;")","")</f>
        <v>정승수(2)</v>
      </c>
      <c r="G74" s="250" t="str">
        <f>IFERROR(VLOOKUP(G73,'자율관 배정 R1'!$B:$F,3,FALSE)&amp;"("&amp;VLOOKUP(G73,'자율관 배정 R1'!$B:$E,2,FALSE)&amp;")","")</f>
        <v>강진규(2)</v>
      </c>
      <c r="H74" s="250" t="str">
        <f>IFERROR(VLOOKUP(H73,'자율관 배정 R1'!$B:$F,3,FALSE)&amp;"("&amp;VLOOKUP(H73,'자율관 배정 R1'!$B:$E,2,FALSE)&amp;")","")</f>
        <v>김도현(3)</v>
      </c>
      <c r="I74" s="250" t="str">
        <f>IFERROR(VLOOKUP(I73,'자율관 배정 R1'!$B:$F,3,FALSE)&amp;"("&amp;VLOOKUP(I73,'자율관 배정 R1'!$B:$E,2,FALSE)&amp;")","")</f>
        <v>김동현(3)</v>
      </c>
      <c r="J74" s="250" t="str">
        <f>IFERROR(VLOOKUP(J73,'자율관 배정 R1'!$B:$F,3,FALSE)&amp;"("&amp;VLOOKUP(J73,'자율관 배정 R1'!$B:$E,2,FALSE)&amp;")","")</f>
        <v>이선재(6)</v>
      </c>
      <c r="K74" s="250" t="str">
        <f>IFERROR(VLOOKUP(K73,'자율관 배정 R1'!$B:$F,3,FALSE)&amp;"("&amp;VLOOKUP(K73,'자율관 배정 R1'!$B:$E,2,FALSE)&amp;")","")</f>
        <v>허현수(3)</v>
      </c>
      <c r="L74" s="250" t="str">
        <f>IFERROR(VLOOKUP(L73,'자율관 배정 R1'!$B:$F,3,FALSE)&amp;"("&amp;VLOOKUP(L73,'자율관 배정 R1'!$B:$E,2,FALSE)&amp;")","")</f>
        <v>송정우(4)</v>
      </c>
      <c r="M74" s="250" t="str">
        <f>IFERROR(VLOOKUP(M73,'자율관 배정 R1'!$B:$F,3,FALSE)&amp;"("&amp;VLOOKUP(M73,'자율관 배정 R1'!$B:$E,2,FALSE)&amp;")","")</f>
        <v>이준희(4)</v>
      </c>
      <c r="N74" s="250" t="str">
        <f>IFERROR(VLOOKUP(N73,'자율관 배정 R1'!$B:$F,3,FALSE)&amp;"("&amp;VLOOKUP(N73,'자율관 배정 R1'!$B:$E,2,FALSE)&amp;")","")</f>
        <v>김정인(2)</v>
      </c>
      <c r="O74" s="260"/>
      <c r="P74" s="303"/>
      <c r="Q74" s="260"/>
      <c r="R74" s="260"/>
      <c r="S74" s="260"/>
      <c r="T74" s="260"/>
      <c r="U74" s="273"/>
      <c r="V74" s="277"/>
      <c r="W74" s="277"/>
      <c r="X74" s="277"/>
      <c r="Y74" s="277"/>
      <c r="Z74" s="277"/>
      <c r="AA74" s="277"/>
      <c r="AB74" s="277"/>
      <c r="AC74" s="277"/>
      <c r="AD74" s="277"/>
      <c r="AE74" s="277"/>
      <c r="AF74" s="297"/>
    </row>
    <row r="75" spans="1:205" ht="20.100000000000001" customHeight="1" thickBot="1" x14ac:dyDescent="0.35">
      <c r="A75" s="341"/>
      <c r="B75" s="328"/>
      <c r="C75" s="395"/>
      <c r="D75" s="337"/>
      <c r="E75" s="373" t="str">
        <f>IFERROR(VLOOKUP(E73,'자율관 배정 R1'!$B:$F,5,FALSE)&amp;"","")</f>
        <v>월화수목</v>
      </c>
      <c r="F75" s="373" t="str">
        <f>IFERROR(VLOOKUP(F73,'자율관 배정 R1'!$B:$F,5,FALSE)&amp;"","")</f>
        <v>기숙사</v>
      </c>
      <c r="G75" s="373" t="str">
        <f>IFERROR(VLOOKUP(G73,'자율관 배정 R1'!$B:$F,5,FALSE)&amp;"","")</f>
        <v>EP면학X</v>
      </c>
      <c r="H75" s="373" t="str">
        <f>IFERROR(VLOOKUP(H73,'자율관 배정 R1'!$B:$F,5,FALSE)&amp;"","")</f>
        <v>월화수목</v>
      </c>
      <c r="I75" s="373" t="str">
        <f>IFERROR(VLOOKUP(I73,'자율관 배정 R1'!$B:$F,5,FALSE)&amp;"","")</f>
        <v>EP면학X</v>
      </c>
      <c r="J75" s="373" t="str">
        <f>IFERROR(VLOOKUP(J73,'자율관 배정 R1'!$B:$F,5,FALSE)&amp;"","")</f>
        <v>EP면학X</v>
      </c>
      <c r="K75" s="373" t="str">
        <f>IFERROR(VLOOKUP(K73,'자율관 배정 R1'!$B:$F,5,FALSE)&amp;"","")</f>
        <v>기숙사</v>
      </c>
      <c r="L75" s="373" t="str">
        <f>IFERROR(VLOOKUP(L73,'자율관 배정 R1'!$B:$F,5,FALSE)&amp;"","")</f>
        <v>기숙사</v>
      </c>
      <c r="M75" s="373" t="str">
        <f>IFERROR(VLOOKUP(M73,'자율관 배정 R1'!$B:$F,5,FALSE)&amp;"","")</f>
        <v>기숙사</v>
      </c>
      <c r="N75" s="373" t="str">
        <f>IFERROR(VLOOKUP(N73,'자율관 배정 R1'!$B:$F,5,FALSE)&amp;"","")</f>
        <v>EP면학X</v>
      </c>
      <c r="O75" s="396"/>
      <c r="P75" s="437"/>
      <c r="Q75" s="260"/>
      <c r="R75" s="260"/>
      <c r="S75" s="260"/>
      <c r="T75" s="260"/>
      <c r="U75" s="327"/>
      <c r="V75" s="327"/>
      <c r="W75" s="327"/>
      <c r="X75" s="327"/>
      <c r="Y75" s="327"/>
      <c r="Z75" s="327"/>
      <c r="AA75" s="327"/>
      <c r="AB75" s="327"/>
      <c r="AC75" s="327"/>
      <c r="AD75" s="327"/>
      <c r="AE75" s="327"/>
      <c r="AF75" s="457"/>
    </row>
    <row r="76" spans="1:205" ht="20.100000000000001" customHeight="1" x14ac:dyDescent="0.3">
      <c r="A76" s="370"/>
      <c r="B76" s="273"/>
      <c r="C76" s="337"/>
      <c r="D76" s="337"/>
      <c r="E76" s="260"/>
      <c r="F76" s="327"/>
      <c r="G76" s="327"/>
      <c r="H76" s="327"/>
      <c r="I76" s="327"/>
      <c r="J76" s="242"/>
      <c r="K76" s="242"/>
      <c r="L76" s="242"/>
      <c r="M76" s="242"/>
      <c r="N76" s="242"/>
      <c r="O76" s="260"/>
      <c r="P76" s="273"/>
      <c r="Q76" s="260"/>
      <c r="R76" s="260"/>
      <c r="S76" s="260"/>
      <c r="T76" s="260"/>
      <c r="U76" s="260"/>
      <c r="V76" s="260"/>
      <c r="W76" s="260"/>
      <c r="X76" s="260"/>
      <c r="Y76" s="260"/>
      <c r="Z76" s="260"/>
      <c r="AA76" s="260"/>
      <c r="AB76" s="260"/>
      <c r="AC76" s="260"/>
      <c r="AD76" s="260"/>
      <c r="AE76" s="260"/>
      <c r="AF76" s="457"/>
      <c r="GW76" s="257"/>
    </row>
    <row r="77" spans="1:205" ht="19.5" customHeight="1" thickBot="1" x14ac:dyDescent="0.35">
      <c r="A77" s="340"/>
      <c r="B77" s="327"/>
      <c r="C77" s="327"/>
      <c r="D77" s="328"/>
      <c r="E77" s="260"/>
      <c r="F77" s="260"/>
      <c r="G77" s="260"/>
      <c r="H77" s="260"/>
      <c r="I77" s="260"/>
      <c r="J77" s="273"/>
      <c r="K77" s="273"/>
      <c r="L77" s="273"/>
      <c r="M77" s="273"/>
      <c r="N77" s="273"/>
      <c r="O77" s="260"/>
      <c r="P77" s="459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457"/>
      <c r="GW77" s="257"/>
    </row>
    <row r="78" spans="1:205" ht="20.100000000000001" customHeight="1" thickBot="1" x14ac:dyDescent="0.35">
      <c r="A78" s="396"/>
      <c r="B78" s="262"/>
      <c r="C78" s="262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458"/>
      <c r="GW78" s="257"/>
    </row>
  </sheetData>
  <mergeCells count="13">
    <mergeCell ref="Q69:T73"/>
    <mergeCell ref="T1:AF1"/>
    <mergeCell ref="G2:I3"/>
    <mergeCell ref="F23:J23"/>
    <mergeCell ref="AB23:AC23"/>
    <mergeCell ref="Q23:R23"/>
    <mergeCell ref="A2:F3"/>
    <mergeCell ref="T61:T63"/>
    <mergeCell ref="Q35:Q37"/>
    <mergeCell ref="Q63:Q65"/>
    <mergeCell ref="Q24:R24"/>
    <mergeCell ref="AB24:AC24"/>
    <mergeCell ref="T30:T34"/>
  </mergeCells>
  <phoneticPr fontId="27" type="noConversion"/>
  <conditionalFormatting sqref="AG21:XFD21">
    <cfRule type="expression" dxfId="970" priority="1306">
      <formula>#REF!="o"</formula>
    </cfRule>
  </conditionalFormatting>
  <conditionalFormatting sqref="AG17 AI17:XFD17">
    <cfRule type="expression" dxfId="969" priority="1307">
      <formula>#REF!="o"</formula>
    </cfRule>
  </conditionalFormatting>
  <conditionalFormatting sqref="AG14 AI14:XFD14">
    <cfRule type="expression" dxfId="968" priority="1308">
      <formula>#REF!="o"</formula>
    </cfRule>
  </conditionalFormatting>
  <conditionalFormatting sqref="AG10 AI10:XFD10">
    <cfRule type="expression" dxfId="967" priority="1309">
      <formula>#REF!="o"</formula>
    </cfRule>
  </conditionalFormatting>
  <conditionalFormatting sqref="AG7 AI7:XFD7">
    <cfRule type="expression" dxfId="966" priority="1310">
      <formula>#REF!="o"</formula>
    </cfRule>
  </conditionalFormatting>
  <printOptions horizontalCentered="1" verticalCentered="1"/>
  <pageMargins left="3.937007874015748E-2" right="3.937007874015748E-2" top="3.937007874015748E-2" bottom="3.937007874015748E-2" header="3.937007874015748E-2" footer="3.937007874015748E-2"/>
  <pageSetup paperSize="12" scale="4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M388"/>
  <sheetViews>
    <sheetView zoomScaleNormal="100" workbookViewId="0">
      <pane ySplit="2" topLeftCell="A366" activePane="bottomLeft" state="frozen"/>
      <selection activeCell="A7" sqref="A7"/>
      <selection pane="bottomLeft" activeCell="F382" sqref="F382"/>
    </sheetView>
  </sheetViews>
  <sheetFormatPr defaultColWidth="9" defaultRowHeight="13.5" x14ac:dyDescent="0.3"/>
  <cols>
    <col min="1" max="1" width="9" style="210"/>
    <col min="2" max="2" width="7.25" style="208" customWidth="1"/>
    <col min="3" max="3" width="9" style="209"/>
    <col min="4" max="4" width="8.875" style="209" customWidth="1"/>
    <col min="5" max="5" width="9" style="210"/>
    <col min="6" max="6" width="13.125" style="210" bestFit="1" customWidth="1"/>
    <col min="7" max="7" width="10.125" style="210" customWidth="1"/>
    <col min="8" max="16384" width="9" style="210"/>
  </cols>
  <sheetData>
    <row r="1" spans="2:12" ht="14.25" thickBot="1" x14ac:dyDescent="0.35"/>
    <row r="2" spans="2:12" ht="14.25" thickBot="1" x14ac:dyDescent="0.35">
      <c r="B2" s="211" t="s">
        <v>255</v>
      </c>
      <c r="C2" s="212" t="s">
        <v>7</v>
      </c>
      <c r="D2" s="212" t="s">
        <v>2</v>
      </c>
      <c r="E2" s="213" t="s">
        <v>3</v>
      </c>
      <c r="F2" s="213" t="s">
        <v>1508</v>
      </c>
      <c r="G2" s="214" t="s">
        <v>1509</v>
      </c>
    </row>
    <row r="3" spans="2:12" ht="16.5" customHeight="1" x14ac:dyDescent="0.3">
      <c r="B3" s="215" t="s">
        <v>254</v>
      </c>
      <c r="C3" s="216">
        <v>2</v>
      </c>
      <c r="D3" s="217" t="s">
        <v>1887</v>
      </c>
      <c r="E3" s="217"/>
      <c r="F3" s="218" t="s">
        <v>1593</v>
      </c>
      <c r="G3" s="219"/>
    </row>
    <row r="4" spans="2:12" ht="16.5" x14ac:dyDescent="0.3">
      <c r="B4" s="220" t="s">
        <v>253</v>
      </c>
      <c r="C4" s="221">
        <v>4</v>
      </c>
      <c r="D4" s="222" t="s">
        <v>1867</v>
      </c>
      <c r="E4" s="222"/>
      <c r="F4" s="223" t="s">
        <v>1509</v>
      </c>
      <c r="G4" s="224"/>
    </row>
    <row r="5" spans="2:12" ht="16.5" customHeight="1" x14ac:dyDescent="0.3">
      <c r="B5" s="220" t="s">
        <v>252</v>
      </c>
      <c r="C5" s="221">
        <v>4</v>
      </c>
      <c r="D5" s="222" t="s">
        <v>1868</v>
      </c>
      <c r="E5" s="222"/>
      <c r="F5" s="223" t="s">
        <v>1509</v>
      </c>
      <c r="G5" s="224"/>
    </row>
    <row r="6" spans="2:12" ht="16.5" customHeight="1" x14ac:dyDescent="0.3">
      <c r="B6" s="220" t="s">
        <v>251</v>
      </c>
      <c r="C6" s="221">
        <v>3</v>
      </c>
      <c r="D6" s="222" t="s">
        <v>1872</v>
      </c>
      <c r="E6" s="222"/>
      <c r="F6" s="223" t="s">
        <v>1509</v>
      </c>
      <c r="G6" s="224"/>
    </row>
    <row r="7" spans="2:12" ht="16.5" customHeight="1" x14ac:dyDescent="0.3">
      <c r="B7" s="220" t="s">
        <v>250</v>
      </c>
      <c r="C7" s="221">
        <v>6</v>
      </c>
      <c r="D7" s="222" t="s">
        <v>1844</v>
      </c>
      <c r="E7" s="222"/>
      <c r="F7" s="223" t="s">
        <v>1594</v>
      </c>
      <c r="G7" s="224"/>
    </row>
    <row r="8" spans="2:12" ht="16.5" customHeight="1" x14ac:dyDescent="0.3">
      <c r="B8" s="220" t="s">
        <v>249</v>
      </c>
      <c r="C8" s="221">
        <v>3</v>
      </c>
      <c r="D8" s="222" t="s">
        <v>1873</v>
      </c>
      <c r="E8" s="222"/>
      <c r="F8" s="223" t="s">
        <v>1593</v>
      </c>
      <c r="G8" s="224"/>
    </row>
    <row r="9" spans="2:12" ht="16.5" customHeight="1" x14ac:dyDescent="0.3">
      <c r="B9" s="220" t="s">
        <v>248</v>
      </c>
      <c r="C9" s="221">
        <v>3</v>
      </c>
      <c r="D9" s="222" t="s">
        <v>1874</v>
      </c>
      <c r="E9" s="222"/>
      <c r="F9" s="223" t="s">
        <v>1548</v>
      </c>
      <c r="G9" s="224"/>
    </row>
    <row r="10" spans="2:12" ht="16.5" customHeight="1" x14ac:dyDescent="0.3">
      <c r="B10" s="220" t="s">
        <v>247</v>
      </c>
      <c r="C10" s="221">
        <v>2</v>
      </c>
      <c r="D10" s="222" t="s">
        <v>1877</v>
      </c>
      <c r="E10" s="222"/>
      <c r="F10" s="223" t="s">
        <v>1594</v>
      </c>
      <c r="G10" s="224"/>
    </row>
    <row r="11" spans="2:12" ht="16.5" customHeight="1" x14ac:dyDescent="0.3">
      <c r="B11" s="220" t="s">
        <v>246</v>
      </c>
      <c r="C11" s="221">
        <v>2</v>
      </c>
      <c r="D11" s="222" t="s">
        <v>1876</v>
      </c>
      <c r="E11" s="222"/>
      <c r="F11" s="223" t="s">
        <v>1509</v>
      </c>
      <c r="G11" s="224"/>
      <c r="I11" s="221">
        <v>2</v>
      </c>
      <c r="J11" s="222" t="s">
        <v>1877</v>
      </c>
      <c r="K11" s="222"/>
      <c r="L11" s="223" t="s">
        <v>1594</v>
      </c>
    </row>
    <row r="12" spans="2:12" ht="16.5" customHeight="1" x14ac:dyDescent="0.3">
      <c r="B12" s="220" t="s">
        <v>245</v>
      </c>
      <c r="C12" s="221">
        <v>1</v>
      </c>
      <c r="D12" s="222" t="s">
        <v>1875</v>
      </c>
      <c r="E12" s="222"/>
      <c r="F12" s="223" t="s">
        <v>1548</v>
      </c>
      <c r="G12" s="224"/>
    </row>
    <row r="13" spans="2:12" ht="13.7" customHeight="1" x14ac:dyDescent="0.3">
      <c r="B13" s="220" t="s">
        <v>244</v>
      </c>
      <c r="C13" s="221">
        <v>2</v>
      </c>
      <c r="D13" s="222" t="s">
        <v>1886</v>
      </c>
      <c r="E13" s="222"/>
      <c r="F13" s="223" t="s">
        <v>1593</v>
      </c>
      <c r="G13" s="224"/>
    </row>
    <row r="14" spans="2:12" ht="16.5" customHeight="1" x14ac:dyDescent="0.3">
      <c r="B14" s="220" t="s">
        <v>243</v>
      </c>
      <c r="C14" s="221">
        <v>6</v>
      </c>
      <c r="D14" s="222" t="s">
        <v>1847</v>
      </c>
      <c r="E14" s="222"/>
      <c r="F14" s="218" t="s">
        <v>1593</v>
      </c>
      <c r="G14" s="427"/>
      <c r="H14" s="332"/>
      <c r="I14" s="332"/>
    </row>
    <row r="15" spans="2:12" ht="16.5" customHeight="1" x14ac:dyDescent="0.3">
      <c r="B15" s="220" t="s">
        <v>242</v>
      </c>
      <c r="C15" s="221">
        <v>2</v>
      </c>
      <c r="D15" s="222" t="s">
        <v>1885</v>
      </c>
      <c r="E15" s="222"/>
      <c r="F15" s="223" t="s">
        <v>1593</v>
      </c>
      <c r="G15" s="224"/>
    </row>
    <row r="16" spans="2:12" ht="16.5" customHeight="1" x14ac:dyDescent="0.3">
      <c r="B16" s="220" t="s">
        <v>241</v>
      </c>
      <c r="C16" s="221">
        <v>7</v>
      </c>
      <c r="D16" s="222" t="s">
        <v>1835</v>
      </c>
      <c r="E16" s="222"/>
      <c r="F16" s="223" t="s">
        <v>1593</v>
      </c>
      <c r="G16" s="224"/>
    </row>
    <row r="17" spans="2:12" ht="16.5" customHeight="1" x14ac:dyDescent="0.3">
      <c r="B17" s="220" t="s">
        <v>240</v>
      </c>
      <c r="C17" s="221">
        <v>2</v>
      </c>
      <c r="D17" s="222" t="s">
        <v>1884</v>
      </c>
      <c r="E17" s="222"/>
      <c r="F17" s="223" t="s">
        <v>1593</v>
      </c>
      <c r="G17" s="224"/>
    </row>
    <row r="18" spans="2:12" ht="16.5" customHeight="1" x14ac:dyDescent="0.3">
      <c r="B18" s="220" t="s">
        <v>239</v>
      </c>
      <c r="C18" s="221">
        <v>1</v>
      </c>
      <c r="D18" s="222" t="s">
        <v>1893</v>
      </c>
      <c r="E18" s="222"/>
      <c r="F18" s="223" t="s">
        <v>1593</v>
      </c>
      <c r="G18" s="224"/>
    </row>
    <row r="19" spans="2:12" ht="16.5" customHeight="1" x14ac:dyDescent="0.3">
      <c r="B19" s="220" t="s">
        <v>238</v>
      </c>
      <c r="C19" s="221">
        <v>2</v>
      </c>
      <c r="D19" s="222" t="s">
        <v>1883</v>
      </c>
      <c r="E19" s="222"/>
      <c r="F19" s="223" t="s">
        <v>1593</v>
      </c>
      <c r="G19" s="224"/>
    </row>
    <row r="20" spans="2:12" ht="16.5" customHeight="1" x14ac:dyDescent="0.3">
      <c r="B20" s="220" t="s">
        <v>237</v>
      </c>
      <c r="C20" s="221">
        <v>7</v>
      </c>
      <c r="D20" s="222" t="s">
        <v>1832</v>
      </c>
      <c r="E20" s="222"/>
      <c r="F20" s="218" t="s">
        <v>1593</v>
      </c>
      <c r="G20" s="224"/>
    </row>
    <row r="21" spans="2:12" ht="16.5" customHeight="1" x14ac:dyDescent="0.3">
      <c r="B21" s="220" t="s">
        <v>236</v>
      </c>
      <c r="C21" s="221">
        <v>2</v>
      </c>
      <c r="D21" s="222" t="s">
        <v>1882</v>
      </c>
      <c r="E21" s="222"/>
      <c r="F21" s="223" t="s">
        <v>1593</v>
      </c>
      <c r="G21" s="224"/>
    </row>
    <row r="22" spans="2:12" ht="16.5" customHeight="1" x14ac:dyDescent="0.3">
      <c r="B22" s="220" t="s">
        <v>235</v>
      </c>
      <c r="C22" s="221">
        <v>1</v>
      </c>
      <c r="D22" s="222" t="s">
        <v>1892</v>
      </c>
      <c r="E22" s="222"/>
      <c r="F22" s="223" t="s">
        <v>1593</v>
      </c>
      <c r="G22" s="224"/>
    </row>
    <row r="23" spans="2:12" ht="16.5" x14ac:dyDescent="0.3">
      <c r="B23" s="220" t="s">
        <v>234</v>
      </c>
      <c r="C23" s="221">
        <v>3</v>
      </c>
      <c r="D23" s="222" t="s">
        <v>1881</v>
      </c>
      <c r="E23" s="222"/>
      <c r="F23" s="223" t="s">
        <v>1593</v>
      </c>
      <c r="G23" s="224"/>
    </row>
    <row r="24" spans="2:12" ht="16.5" customHeight="1" x14ac:dyDescent="0.3">
      <c r="B24" s="220" t="s">
        <v>233</v>
      </c>
      <c r="C24" s="221">
        <v>7</v>
      </c>
      <c r="D24" s="222" t="s">
        <v>1826</v>
      </c>
      <c r="E24" s="222"/>
      <c r="F24" s="223" t="s">
        <v>1593</v>
      </c>
      <c r="G24" s="224"/>
    </row>
    <row r="25" spans="2:12" ht="16.5" customHeight="1" x14ac:dyDescent="0.3">
      <c r="B25" s="220" t="s">
        <v>232</v>
      </c>
      <c r="C25" s="221">
        <v>3</v>
      </c>
      <c r="D25" s="222" t="s">
        <v>1880</v>
      </c>
      <c r="E25" s="222"/>
      <c r="F25" s="223" t="s">
        <v>1593</v>
      </c>
      <c r="G25" s="224"/>
    </row>
    <row r="26" spans="2:12" ht="16.5" customHeight="1" x14ac:dyDescent="0.3">
      <c r="B26" s="220" t="s">
        <v>231</v>
      </c>
      <c r="C26" s="221">
        <v>7</v>
      </c>
      <c r="D26" s="222" t="s">
        <v>1830</v>
      </c>
      <c r="E26" s="222"/>
      <c r="F26" s="218" t="s">
        <v>1593</v>
      </c>
      <c r="G26" s="224"/>
    </row>
    <row r="27" spans="2:12" ht="16.5" customHeight="1" x14ac:dyDescent="0.3">
      <c r="B27" s="220" t="s">
        <v>230</v>
      </c>
      <c r="C27" s="221">
        <v>3</v>
      </c>
      <c r="D27" s="222" t="s">
        <v>1879</v>
      </c>
      <c r="E27" s="222"/>
      <c r="F27" s="223" t="s">
        <v>1593</v>
      </c>
      <c r="G27" s="224"/>
    </row>
    <row r="28" spans="2:12" ht="16.5" customHeight="1" x14ac:dyDescent="0.3">
      <c r="B28" s="413" t="s">
        <v>229</v>
      </c>
      <c r="C28" s="414"/>
      <c r="D28" s="415"/>
      <c r="E28" s="415"/>
      <c r="F28" s="416"/>
      <c r="G28" s="417"/>
    </row>
    <row r="29" spans="2:12" ht="16.5" x14ac:dyDescent="0.3">
      <c r="B29" s="413" t="s">
        <v>228</v>
      </c>
      <c r="C29" s="414"/>
      <c r="D29" s="415"/>
      <c r="E29" s="415"/>
      <c r="F29" s="416"/>
      <c r="G29" s="417"/>
      <c r="I29" s="332"/>
      <c r="J29" s="332"/>
      <c r="K29" s="332"/>
      <c r="L29" s="332"/>
    </row>
    <row r="30" spans="2:12" ht="16.5" customHeight="1" x14ac:dyDescent="0.3">
      <c r="B30" s="220" t="s">
        <v>227</v>
      </c>
      <c r="C30" s="221">
        <v>3</v>
      </c>
      <c r="D30" s="222" t="s">
        <v>1878</v>
      </c>
      <c r="E30" s="222"/>
      <c r="F30" s="223" t="s">
        <v>1594</v>
      </c>
      <c r="G30" s="224"/>
      <c r="I30" s="332"/>
      <c r="J30" s="332"/>
      <c r="K30" s="332"/>
      <c r="L30" s="332"/>
    </row>
    <row r="31" spans="2:12" ht="16.5" customHeight="1" x14ac:dyDescent="0.3">
      <c r="B31" s="220" t="s">
        <v>226</v>
      </c>
      <c r="C31" s="221">
        <v>7</v>
      </c>
      <c r="D31" s="222" t="s">
        <v>1828</v>
      </c>
      <c r="E31" s="222"/>
      <c r="F31" s="223" t="s">
        <v>1593</v>
      </c>
      <c r="G31" s="224"/>
      <c r="I31" s="332"/>
      <c r="J31" s="332"/>
      <c r="K31" s="332"/>
      <c r="L31" s="332"/>
    </row>
    <row r="32" spans="2:12" ht="16.5" customHeight="1" x14ac:dyDescent="0.3">
      <c r="B32" s="220" t="s">
        <v>225</v>
      </c>
      <c r="C32" s="221">
        <v>7</v>
      </c>
      <c r="D32" s="222" t="s">
        <v>1833</v>
      </c>
      <c r="E32" s="222"/>
      <c r="F32" s="223" t="s">
        <v>1548</v>
      </c>
      <c r="G32" s="224"/>
      <c r="I32" s="332"/>
      <c r="J32" s="332"/>
      <c r="K32" s="332"/>
      <c r="L32" s="191"/>
    </row>
    <row r="33" spans="2:12" ht="16.5" customHeight="1" x14ac:dyDescent="0.3">
      <c r="B33" s="220" t="s">
        <v>224</v>
      </c>
      <c r="C33" s="221">
        <v>4</v>
      </c>
      <c r="D33" s="222" t="s">
        <v>1871</v>
      </c>
      <c r="E33" s="222"/>
      <c r="F33" s="223" t="s">
        <v>1594</v>
      </c>
      <c r="G33" s="224"/>
      <c r="I33" s="332"/>
      <c r="J33" s="332"/>
      <c r="K33" s="332"/>
      <c r="L33" s="332"/>
    </row>
    <row r="34" spans="2:12" ht="16.5" customHeight="1" x14ac:dyDescent="0.3">
      <c r="B34" s="220" t="s">
        <v>223</v>
      </c>
      <c r="C34" s="221">
        <v>8</v>
      </c>
      <c r="D34" s="222" t="s">
        <v>1811</v>
      </c>
      <c r="E34" s="222"/>
      <c r="F34" s="223" t="s">
        <v>1593</v>
      </c>
      <c r="G34" s="224"/>
      <c r="I34" s="332"/>
      <c r="J34" s="332"/>
      <c r="K34" s="332"/>
      <c r="L34" s="332"/>
    </row>
    <row r="35" spans="2:12" ht="16.5" x14ac:dyDescent="0.3">
      <c r="B35" s="220" t="s">
        <v>222</v>
      </c>
      <c r="C35" s="221">
        <v>4</v>
      </c>
      <c r="D35" s="222" t="s">
        <v>1870</v>
      </c>
      <c r="E35" s="222"/>
      <c r="F35" s="223" t="s">
        <v>1593</v>
      </c>
      <c r="G35" s="224"/>
      <c r="I35" s="332"/>
      <c r="J35" s="332"/>
      <c r="K35" s="332"/>
      <c r="L35" s="332"/>
    </row>
    <row r="36" spans="2:12" ht="16.5" customHeight="1" x14ac:dyDescent="0.3">
      <c r="B36" s="220" t="s">
        <v>221</v>
      </c>
      <c r="C36" s="221">
        <v>1</v>
      </c>
      <c r="D36" s="222" t="s">
        <v>1889</v>
      </c>
      <c r="E36" s="222"/>
      <c r="F36" s="223" t="s">
        <v>1593</v>
      </c>
      <c r="G36" s="224"/>
    </row>
    <row r="37" spans="2:12" ht="16.5" customHeight="1" x14ac:dyDescent="0.3">
      <c r="B37" s="220" t="s">
        <v>220</v>
      </c>
      <c r="C37" s="221">
        <v>8</v>
      </c>
      <c r="D37" s="222" t="s">
        <v>1806</v>
      </c>
      <c r="E37" s="222"/>
      <c r="F37" s="218" t="s">
        <v>1593</v>
      </c>
      <c r="G37" s="224"/>
    </row>
    <row r="38" spans="2:12" ht="16.5" customHeight="1" x14ac:dyDescent="0.3">
      <c r="B38" s="220" t="s">
        <v>219</v>
      </c>
      <c r="C38" s="221">
        <v>4</v>
      </c>
      <c r="D38" s="222" t="s">
        <v>1869</v>
      </c>
      <c r="E38" s="222"/>
      <c r="F38" s="223" t="s">
        <v>1593</v>
      </c>
      <c r="G38" s="224"/>
    </row>
    <row r="39" spans="2:12" ht="16.5" customHeight="1" thickBot="1" x14ac:dyDescent="0.35">
      <c r="B39" s="220" t="s">
        <v>218</v>
      </c>
      <c r="C39" s="229">
        <v>5</v>
      </c>
      <c r="D39" s="230" t="s">
        <v>1865</v>
      </c>
      <c r="E39" s="230"/>
      <c r="F39" s="405" t="s">
        <v>1593</v>
      </c>
      <c r="G39" s="224"/>
    </row>
    <row r="40" spans="2:12" ht="16.5" customHeight="1" x14ac:dyDescent="0.3">
      <c r="B40" s="220" t="s">
        <v>217</v>
      </c>
      <c r="C40" s="221">
        <v>7</v>
      </c>
      <c r="D40" s="222" t="s">
        <v>1825</v>
      </c>
      <c r="E40" s="222"/>
      <c r="F40" s="223" t="s">
        <v>1593</v>
      </c>
      <c r="G40" s="224"/>
    </row>
    <row r="41" spans="2:12" ht="16.5" customHeight="1" x14ac:dyDescent="0.3">
      <c r="B41" s="220" t="s">
        <v>216</v>
      </c>
      <c r="C41" s="221">
        <v>5</v>
      </c>
      <c r="D41" s="222" t="s">
        <v>1864</v>
      </c>
      <c r="E41" s="222"/>
      <c r="F41" s="218" t="s">
        <v>1593</v>
      </c>
      <c r="G41" s="224"/>
    </row>
    <row r="42" spans="2:12" ht="16.5" customHeight="1" x14ac:dyDescent="0.3">
      <c r="B42" s="220" t="s">
        <v>215</v>
      </c>
      <c r="C42" s="221">
        <v>8</v>
      </c>
      <c r="D42" s="222" t="s">
        <v>1809</v>
      </c>
      <c r="E42" s="222"/>
      <c r="F42" s="223" t="s">
        <v>1593</v>
      </c>
      <c r="G42" s="224"/>
    </row>
    <row r="43" spans="2:12" ht="16.5" customHeight="1" x14ac:dyDescent="0.3">
      <c r="B43" s="220" t="s">
        <v>214</v>
      </c>
      <c r="C43" s="221">
        <v>5</v>
      </c>
      <c r="D43" s="222" t="s">
        <v>1863</v>
      </c>
      <c r="E43" s="222"/>
      <c r="F43" s="218" t="s">
        <v>1593</v>
      </c>
      <c r="G43" s="224"/>
    </row>
    <row r="44" spans="2:12" ht="16.5" customHeight="1" x14ac:dyDescent="0.3">
      <c r="B44" s="220" t="s">
        <v>213</v>
      </c>
      <c r="C44" s="221">
        <v>1</v>
      </c>
      <c r="D44" s="222" t="s">
        <v>1891</v>
      </c>
      <c r="E44" s="222"/>
      <c r="F44" s="218" t="s">
        <v>1593</v>
      </c>
      <c r="G44" s="224"/>
    </row>
    <row r="45" spans="2:12" ht="16.5" customHeight="1" x14ac:dyDescent="0.3">
      <c r="B45" s="220" t="s">
        <v>212</v>
      </c>
      <c r="C45" s="221">
        <v>5</v>
      </c>
      <c r="D45" s="222" t="s">
        <v>1862</v>
      </c>
      <c r="E45" s="222"/>
      <c r="F45" s="218" t="s">
        <v>1593</v>
      </c>
      <c r="G45" s="224"/>
    </row>
    <row r="46" spans="2:12" ht="16.5" customHeight="1" x14ac:dyDescent="0.3">
      <c r="B46" s="220" t="s">
        <v>211</v>
      </c>
      <c r="C46" s="221">
        <v>8</v>
      </c>
      <c r="D46" s="222" t="s">
        <v>1802</v>
      </c>
      <c r="E46" s="222"/>
      <c r="F46" s="223" t="s">
        <v>1593</v>
      </c>
      <c r="G46" s="224"/>
    </row>
    <row r="47" spans="2:12" ht="16.5" customHeight="1" x14ac:dyDescent="0.3">
      <c r="B47" s="220" t="s">
        <v>210</v>
      </c>
      <c r="C47" s="221">
        <v>5</v>
      </c>
      <c r="D47" s="222" t="s">
        <v>1861</v>
      </c>
      <c r="E47" s="222"/>
      <c r="F47" s="218" t="s">
        <v>1593</v>
      </c>
      <c r="G47" s="224"/>
    </row>
    <row r="48" spans="2:12" ht="16.5" customHeight="1" x14ac:dyDescent="0.3">
      <c r="B48" s="220" t="s">
        <v>209</v>
      </c>
      <c r="C48" s="221">
        <v>1</v>
      </c>
      <c r="D48" s="222" t="s">
        <v>1890</v>
      </c>
      <c r="E48" s="222"/>
      <c r="F48" s="218" t="s">
        <v>1593</v>
      </c>
      <c r="G48" s="224"/>
    </row>
    <row r="49" spans="2:12" ht="16.5" customHeight="1" x14ac:dyDescent="0.3">
      <c r="B49" s="220" t="s">
        <v>208</v>
      </c>
      <c r="C49" s="221">
        <v>5</v>
      </c>
      <c r="D49" s="222" t="s">
        <v>1860</v>
      </c>
      <c r="E49" s="222"/>
      <c r="F49" s="218" t="s">
        <v>1593</v>
      </c>
      <c r="G49" s="224"/>
    </row>
    <row r="50" spans="2:12" ht="16.5" customHeight="1" x14ac:dyDescent="0.3">
      <c r="B50" s="220" t="s">
        <v>207</v>
      </c>
      <c r="C50" s="221">
        <v>8</v>
      </c>
      <c r="D50" s="222" t="s">
        <v>1808</v>
      </c>
      <c r="E50" s="222"/>
      <c r="F50" s="223" t="s">
        <v>1593</v>
      </c>
      <c r="G50" s="224"/>
    </row>
    <row r="51" spans="2:12" ht="16.5" customHeight="1" x14ac:dyDescent="0.3">
      <c r="B51" s="220" t="s">
        <v>206</v>
      </c>
      <c r="C51" s="221">
        <v>5</v>
      </c>
      <c r="D51" s="222" t="s">
        <v>1859</v>
      </c>
      <c r="E51" s="222"/>
      <c r="F51" s="218" t="s">
        <v>1593</v>
      </c>
      <c r="G51" s="224"/>
    </row>
    <row r="52" spans="2:12" ht="16.5" customHeight="1" x14ac:dyDescent="0.3">
      <c r="B52" s="220" t="s">
        <v>205</v>
      </c>
      <c r="C52" s="221">
        <v>8</v>
      </c>
      <c r="D52" s="222" t="s">
        <v>1804</v>
      </c>
      <c r="E52" s="222"/>
      <c r="F52" s="218" t="s">
        <v>1593</v>
      </c>
      <c r="G52" s="224"/>
    </row>
    <row r="53" spans="2:12" ht="16.5" customHeight="1" x14ac:dyDescent="0.3">
      <c r="B53" s="220" t="s">
        <v>204</v>
      </c>
      <c r="C53" s="221">
        <v>5</v>
      </c>
      <c r="D53" s="222" t="s">
        <v>1858</v>
      </c>
      <c r="E53" s="222"/>
      <c r="F53" s="223" t="s">
        <v>1594</v>
      </c>
      <c r="G53" s="224"/>
    </row>
    <row r="54" spans="2:12" ht="16.5" customHeight="1" x14ac:dyDescent="0.3">
      <c r="B54" s="220" t="s">
        <v>203</v>
      </c>
      <c r="C54" s="221">
        <v>1</v>
      </c>
      <c r="D54" s="222" t="s">
        <v>1888</v>
      </c>
      <c r="E54" s="222"/>
      <c r="F54" s="218" t="s">
        <v>1594</v>
      </c>
      <c r="G54" s="224"/>
    </row>
    <row r="55" spans="2:12" ht="16.5" customHeight="1" x14ac:dyDescent="0.3">
      <c r="B55" s="220" t="s">
        <v>202</v>
      </c>
      <c r="C55" s="221">
        <v>9</v>
      </c>
      <c r="D55" s="222" t="s">
        <v>1795</v>
      </c>
      <c r="E55" s="222"/>
      <c r="F55" s="223" t="s">
        <v>1593</v>
      </c>
      <c r="G55" s="224"/>
    </row>
    <row r="56" spans="2:12" ht="16.5" customHeight="1" x14ac:dyDescent="0.3">
      <c r="B56" s="220" t="s">
        <v>201</v>
      </c>
      <c r="C56" s="221">
        <v>5</v>
      </c>
      <c r="D56" s="222" t="s">
        <v>1857</v>
      </c>
      <c r="E56" s="222"/>
      <c r="F56" s="218" t="s">
        <v>1593</v>
      </c>
      <c r="G56" s="224"/>
    </row>
    <row r="57" spans="2:12" ht="16.5" customHeight="1" x14ac:dyDescent="0.3">
      <c r="B57" s="220" t="s">
        <v>200</v>
      </c>
      <c r="C57" s="221">
        <v>6</v>
      </c>
      <c r="D57" s="222" t="s">
        <v>1850</v>
      </c>
      <c r="E57" s="222"/>
      <c r="F57" s="218" t="s">
        <v>1593</v>
      </c>
      <c r="G57" s="224"/>
    </row>
    <row r="58" spans="2:12" ht="16.5" customHeight="1" x14ac:dyDescent="0.3">
      <c r="B58" s="220" t="s">
        <v>199</v>
      </c>
      <c r="C58" s="221">
        <v>8</v>
      </c>
      <c r="D58" s="222" t="s">
        <v>1803</v>
      </c>
      <c r="E58" s="222"/>
      <c r="F58" s="223" t="s">
        <v>1593</v>
      </c>
      <c r="G58" s="224"/>
    </row>
    <row r="59" spans="2:12" ht="16.5" x14ac:dyDescent="0.3">
      <c r="B59" s="220" t="s">
        <v>198</v>
      </c>
      <c r="C59" s="221">
        <v>6</v>
      </c>
      <c r="D59" s="222" t="s">
        <v>1849</v>
      </c>
      <c r="E59" s="222"/>
      <c r="F59" s="218" t="s">
        <v>1593</v>
      </c>
      <c r="G59" s="224"/>
    </row>
    <row r="60" spans="2:12" ht="16.5" customHeight="1" x14ac:dyDescent="0.3">
      <c r="B60" s="220" t="s">
        <v>197</v>
      </c>
      <c r="C60" s="221">
        <v>9</v>
      </c>
      <c r="D60" s="222" t="s">
        <v>1798</v>
      </c>
      <c r="E60" s="222"/>
      <c r="F60" s="218" t="s">
        <v>1593</v>
      </c>
      <c r="G60" s="224"/>
    </row>
    <row r="61" spans="2:12" ht="16.5" customHeight="1" x14ac:dyDescent="0.3">
      <c r="B61" s="220" t="s">
        <v>196</v>
      </c>
      <c r="C61" s="221">
        <v>6</v>
      </c>
      <c r="D61" s="222" t="s">
        <v>1848</v>
      </c>
      <c r="E61" s="222"/>
      <c r="F61" s="218" t="s">
        <v>1593</v>
      </c>
      <c r="G61" s="224"/>
    </row>
    <row r="62" spans="2:12" ht="16.5" customHeight="1" x14ac:dyDescent="0.3">
      <c r="B62" s="220" t="s">
        <v>195</v>
      </c>
      <c r="C62" s="221">
        <v>9</v>
      </c>
      <c r="D62" s="222" t="s">
        <v>1797</v>
      </c>
      <c r="E62" s="222"/>
      <c r="F62" s="223" t="s">
        <v>1594</v>
      </c>
      <c r="G62" s="224"/>
    </row>
    <row r="63" spans="2:12" ht="16.5" customHeight="1" x14ac:dyDescent="0.3">
      <c r="B63" s="220" t="s">
        <v>194</v>
      </c>
      <c r="C63" s="221">
        <v>10</v>
      </c>
      <c r="D63" s="222" t="s">
        <v>1586</v>
      </c>
      <c r="E63" s="222"/>
      <c r="F63" s="218" t="s">
        <v>1509</v>
      </c>
      <c r="G63" s="224"/>
    </row>
    <row r="64" spans="2:12" ht="16.5" customHeight="1" x14ac:dyDescent="0.3">
      <c r="B64" s="220" t="s">
        <v>193</v>
      </c>
      <c r="C64" s="221">
        <v>6</v>
      </c>
      <c r="D64" s="222" t="s">
        <v>1846</v>
      </c>
      <c r="E64" s="222"/>
      <c r="F64" s="218" t="s">
        <v>1593</v>
      </c>
      <c r="G64" s="224"/>
      <c r="I64" s="221"/>
      <c r="J64" s="222"/>
      <c r="K64" s="222"/>
      <c r="L64" s="218"/>
    </row>
    <row r="65" spans="2:7" ht="16.5" customHeight="1" x14ac:dyDescent="0.3">
      <c r="B65" s="220" t="s">
        <v>192</v>
      </c>
      <c r="C65" s="221">
        <v>4</v>
      </c>
      <c r="D65" s="222" t="s">
        <v>1866</v>
      </c>
      <c r="E65" s="222"/>
      <c r="F65" s="218" t="s">
        <v>1593</v>
      </c>
      <c r="G65" s="224"/>
    </row>
    <row r="66" spans="2:7" ht="16.5" customHeight="1" x14ac:dyDescent="0.3">
      <c r="B66" s="220" t="s">
        <v>191</v>
      </c>
      <c r="C66" s="221">
        <v>5</v>
      </c>
      <c r="D66" s="222" t="s">
        <v>1856</v>
      </c>
      <c r="E66" s="222"/>
      <c r="F66" s="218" t="s">
        <v>1548</v>
      </c>
      <c r="G66" s="224"/>
    </row>
    <row r="67" spans="2:7" ht="16.5" customHeight="1" x14ac:dyDescent="0.3">
      <c r="B67" s="220" t="s">
        <v>190</v>
      </c>
      <c r="C67" s="221">
        <v>6</v>
      </c>
      <c r="D67" s="222" t="s">
        <v>1845</v>
      </c>
      <c r="E67" s="222"/>
      <c r="F67" s="223" t="s">
        <v>1593</v>
      </c>
      <c r="G67" s="224"/>
    </row>
    <row r="68" spans="2:7" ht="16.5" customHeight="1" x14ac:dyDescent="0.3">
      <c r="B68" s="220" t="s">
        <v>189</v>
      </c>
      <c r="C68" s="221">
        <v>5</v>
      </c>
      <c r="D68" s="222" t="s">
        <v>1855</v>
      </c>
      <c r="E68" s="222"/>
      <c r="F68" s="223" t="s">
        <v>1509</v>
      </c>
      <c r="G68" s="224"/>
    </row>
    <row r="69" spans="2:7" ht="16.5" customHeight="1" x14ac:dyDescent="0.3">
      <c r="B69" s="220" t="s">
        <v>188</v>
      </c>
      <c r="C69" s="221"/>
      <c r="D69" s="222"/>
      <c r="E69" s="222"/>
      <c r="F69" s="223"/>
      <c r="G69" s="224"/>
    </row>
    <row r="70" spans="2:7" ht="16.5" customHeight="1" x14ac:dyDescent="0.3">
      <c r="B70" s="220" t="s">
        <v>187</v>
      </c>
      <c r="C70" s="221">
        <v>5</v>
      </c>
      <c r="D70" s="222" t="s">
        <v>1854</v>
      </c>
      <c r="E70" s="222"/>
      <c r="F70" s="223" t="s">
        <v>1509</v>
      </c>
      <c r="G70" s="224"/>
    </row>
    <row r="71" spans="2:7" ht="16.5" x14ac:dyDescent="0.3">
      <c r="B71" s="220" t="s">
        <v>186</v>
      </c>
      <c r="C71" s="221">
        <v>6</v>
      </c>
      <c r="D71" s="222" t="s">
        <v>1843</v>
      </c>
      <c r="E71" s="222"/>
      <c r="F71" s="223" t="s">
        <v>1593</v>
      </c>
      <c r="G71" s="224"/>
    </row>
    <row r="72" spans="2:7" ht="16.5" customHeight="1" x14ac:dyDescent="0.3">
      <c r="B72" s="220" t="s">
        <v>185</v>
      </c>
      <c r="C72" s="221">
        <v>5</v>
      </c>
      <c r="D72" s="222" t="s">
        <v>1853</v>
      </c>
      <c r="E72" s="222"/>
      <c r="F72" s="218" t="s">
        <v>1509</v>
      </c>
      <c r="G72" s="224"/>
    </row>
    <row r="73" spans="2:7" ht="16.5" customHeight="1" x14ac:dyDescent="0.3">
      <c r="B73" s="220" t="s">
        <v>184</v>
      </c>
      <c r="C73" s="221"/>
      <c r="D73" s="222"/>
      <c r="E73" s="222"/>
      <c r="F73" s="223"/>
      <c r="G73" s="224"/>
    </row>
    <row r="74" spans="2:7" ht="16.5" customHeight="1" x14ac:dyDescent="0.3">
      <c r="B74" s="220" t="s">
        <v>183</v>
      </c>
      <c r="C74" s="221">
        <v>5</v>
      </c>
      <c r="D74" s="222" t="s">
        <v>1852</v>
      </c>
      <c r="E74" s="222"/>
      <c r="F74" s="223" t="s">
        <v>1509</v>
      </c>
      <c r="G74" s="224"/>
    </row>
    <row r="75" spans="2:7" ht="16.5" customHeight="1" x14ac:dyDescent="0.3">
      <c r="B75" s="220" t="s">
        <v>182</v>
      </c>
      <c r="C75" s="221">
        <v>7</v>
      </c>
      <c r="D75" s="222" t="s">
        <v>1834</v>
      </c>
      <c r="E75" s="222"/>
      <c r="F75" s="218" t="s">
        <v>1593</v>
      </c>
      <c r="G75" s="224"/>
    </row>
    <row r="76" spans="2:7" ht="16.5" customHeight="1" x14ac:dyDescent="0.3">
      <c r="B76" s="220" t="s">
        <v>181</v>
      </c>
      <c r="C76" s="221">
        <v>5</v>
      </c>
      <c r="D76" s="222" t="s">
        <v>1851</v>
      </c>
      <c r="E76" s="222"/>
      <c r="F76" s="223" t="s">
        <v>1509</v>
      </c>
      <c r="G76" s="224"/>
    </row>
    <row r="77" spans="2:7" ht="16.5" customHeight="1" x14ac:dyDescent="0.3">
      <c r="B77" s="220" t="s">
        <v>180</v>
      </c>
      <c r="C77" s="221"/>
      <c r="D77" s="222"/>
      <c r="E77" s="222"/>
      <c r="F77" s="223"/>
      <c r="G77" s="224"/>
    </row>
    <row r="78" spans="2:7" ht="16.5" customHeight="1" x14ac:dyDescent="0.3">
      <c r="B78" s="220" t="s">
        <v>179</v>
      </c>
      <c r="C78" s="221">
        <v>6</v>
      </c>
      <c r="D78" s="222" t="s">
        <v>1842</v>
      </c>
      <c r="E78" s="222"/>
      <c r="F78" s="223" t="s">
        <v>1548</v>
      </c>
      <c r="G78" s="224"/>
    </row>
    <row r="79" spans="2:7" ht="16.5" customHeight="1" x14ac:dyDescent="0.3">
      <c r="B79" s="220" t="s">
        <v>178</v>
      </c>
      <c r="C79" s="221"/>
      <c r="D79" s="222"/>
      <c r="E79" s="222"/>
      <c r="F79" s="218"/>
      <c r="G79" s="224"/>
    </row>
    <row r="80" spans="2:7" ht="16.5" customHeight="1" x14ac:dyDescent="0.3">
      <c r="B80" s="220" t="s">
        <v>177</v>
      </c>
      <c r="C80" s="221">
        <v>6</v>
      </c>
      <c r="D80" s="222" t="s">
        <v>1841</v>
      </c>
      <c r="E80" s="222"/>
      <c r="F80" s="223" t="s">
        <v>1509</v>
      </c>
      <c r="G80" s="224"/>
    </row>
    <row r="81" spans="2:7" ht="16.5" customHeight="1" x14ac:dyDescent="0.3">
      <c r="B81" s="220" t="s">
        <v>176</v>
      </c>
      <c r="C81" s="221">
        <v>7</v>
      </c>
      <c r="D81" s="222" t="s">
        <v>1831</v>
      </c>
      <c r="E81" s="222"/>
      <c r="F81" s="223" t="s">
        <v>1548</v>
      </c>
      <c r="G81" s="224"/>
    </row>
    <row r="82" spans="2:7" ht="16.5" customHeight="1" x14ac:dyDescent="0.3">
      <c r="B82" s="220" t="s">
        <v>175</v>
      </c>
      <c r="C82" s="221">
        <v>6</v>
      </c>
      <c r="D82" s="222" t="s">
        <v>1840</v>
      </c>
      <c r="E82" s="222"/>
      <c r="F82" s="223" t="s">
        <v>1593</v>
      </c>
      <c r="G82" s="224"/>
    </row>
    <row r="83" spans="2:7" ht="16.5" customHeight="1" x14ac:dyDescent="0.3">
      <c r="B83" s="220" t="s">
        <v>174</v>
      </c>
      <c r="C83" s="221"/>
      <c r="D83" s="222"/>
      <c r="E83" s="222"/>
      <c r="F83" s="218"/>
      <c r="G83" s="224"/>
    </row>
    <row r="84" spans="2:7" ht="16.5" customHeight="1" x14ac:dyDescent="0.3">
      <c r="B84" s="220" t="s">
        <v>173</v>
      </c>
      <c r="C84" s="221">
        <v>6</v>
      </c>
      <c r="D84" s="222" t="s">
        <v>1839</v>
      </c>
      <c r="E84" s="222"/>
      <c r="F84" s="223" t="s">
        <v>1548</v>
      </c>
      <c r="G84" s="224"/>
    </row>
    <row r="85" spans="2:7" ht="16.5" customHeight="1" x14ac:dyDescent="0.3">
      <c r="B85" s="220" t="s">
        <v>172</v>
      </c>
      <c r="C85" s="221">
        <v>7</v>
      </c>
      <c r="D85" s="222" t="s">
        <v>1829</v>
      </c>
      <c r="E85" s="222"/>
      <c r="F85" s="223" t="s">
        <v>1593</v>
      </c>
      <c r="G85" s="224"/>
    </row>
    <row r="86" spans="2:7" ht="16.5" customHeight="1" x14ac:dyDescent="0.3">
      <c r="B86" s="220" t="s">
        <v>171</v>
      </c>
      <c r="C86" s="221">
        <v>6</v>
      </c>
      <c r="D86" s="222" t="s">
        <v>1838</v>
      </c>
      <c r="E86" s="222"/>
      <c r="F86" s="218" t="s">
        <v>1509</v>
      </c>
      <c r="G86" s="224"/>
    </row>
    <row r="87" spans="2:7" ht="16.5" x14ac:dyDescent="0.3">
      <c r="B87" s="220" t="s">
        <v>170</v>
      </c>
      <c r="C87" s="221"/>
      <c r="D87" s="222"/>
      <c r="E87" s="222"/>
      <c r="F87" s="223"/>
      <c r="G87" s="224"/>
    </row>
    <row r="88" spans="2:7" ht="16.5" customHeight="1" x14ac:dyDescent="0.3">
      <c r="B88" s="220" t="s">
        <v>169</v>
      </c>
      <c r="C88" s="221">
        <v>6</v>
      </c>
      <c r="D88" s="222" t="s">
        <v>1837</v>
      </c>
      <c r="E88" s="222"/>
      <c r="F88" s="223" t="s">
        <v>1509</v>
      </c>
      <c r="G88" s="224"/>
    </row>
    <row r="89" spans="2:7" ht="16.5" customHeight="1" x14ac:dyDescent="0.3">
      <c r="B89" s="220" t="s">
        <v>168</v>
      </c>
      <c r="C89" s="221">
        <v>7</v>
      </c>
      <c r="D89" s="222" t="s">
        <v>1827</v>
      </c>
      <c r="E89" s="222"/>
      <c r="F89" s="223" t="s">
        <v>1593</v>
      </c>
      <c r="G89" s="224"/>
    </row>
    <row r="90" spans="2:7" ht="16.5" customHeight="1" x14ac:dyDescent="0.3">
      <c r="B90" s="220" t="s">
        <v>167</v>
      </c>
      <c r="C90" s="221">
        <v>6</v>
      </c>
      <c r="D90" s="222" t="s">
        <v>1836</v>
      </c>
      <c r="E90" s="222"/>
      <c r="F90" s="223" t="s">
        <v>1509</v>
      </c>
      <c r="G90" s="224"/>
    </row>
    <row r="91" spans="2:7" ht="16.5" customHeight="1" x14ac:dyDescent="0.3">
      <c r="B91" s="220" t="s">
        <v>166</v>
      </c>
      <c r="C91" s="221"/>
      <c r="D91" s="222"/>
      <c r="E91" s="222"/>
      <c r="F91" s="223"/>
      <c r="G91" s="224"/>
    </row>
    <row r="92" spans="2:7" ht="16.5" customHeight="1" x14ac:dyDescent="0.3">
      <c r="B92" s="220" t="s">
        <v>165</v>
      </c>
      <c r="C92" s="221">
        <v>7</v>
      </c>
      <c r="D92" s="222" t="s">
        <v>1824</v>
      </c>
      <c r="E92" s="222"/>
      <c r="F92" s="218" t="s">
        <v>1509</v>
      </c>
      <c r="G92" s="224"/>
    </row>
    <row r="93" spans="2:7" ht="16.5" customHeight="1" x14ac:dyDescent="0.3">
      <c r="B93" s="220" t="s">
        <v>164</v>
      </c>
      <c r="C93" s="221"/>
      <c r="D93" s="222"/>
      <c r="E93" s="222"/>
      <c r="F93" s="223"/>
      <c r="G93" s="224"/>
    </row>
    <row r="94" spans="2:7" ht="16.5" customHeight="1" x14ac:dyDescent="0.3">
      <c r="B94" s="220" t="s">
        <v>163</v>
      </c>
      <c r="C94" s="221">
        <v>7</v>
      </c>
      <c r="D94" s="222" t="s">
        <v>1823</v>
      </c>
      <c r="E94" s="222"/>
      <c r="F94" s="223" t="s">
        <v>1509</v>
      </c>
      <c r="G94" s="224"/>
    </row>
    <row r="95" spans="2:7" ht="16.5" x14ac:dyDescent="0.3">
      <c r="B95" s="220" t="s">
        <v>162</v>
      </c>
      <c r="C95" s="221"/>
      <c r="D95" s="222"/>
      <c r="E95" s="222"/>
      <c r="F95" s="223"/>
      <c r="G95" s="224"/>
    </row>
    <row r="96" spans="2:7" ht="16.5" customHeight="1" x14ac:dyDescent="0.3">
      <c r="B96" s="220" t="s">
        <v>161</v>
      </c>
      <c r="C96" s="221">
        <v>7</v>
      </c>
      <c r="D96" s="222" t="s">
        <v>1822</v>
      </c>
      <c r="E96" s="222"/>
      <c r="F96" s="223" t="s">
        <v>1509</v>
      </c>
      <c r="G96" s="224"/>
    </row>
    <row r="97" spans="2:7" ht="16.5" customHeight="1" x14ac:dyDescent="0.3">
      <c r="B97" s="220" t="s">
        <v>160</v>
      </c>
      <c r="C97" s="221">
        <v>8</v>
      </c>
      <c r="D97" s="222" t="s">
        <v>1810</v>
      </c>
      <c r="E97" s="222"/>
      <c r="F97" s="223" t="s">
        <v>1593</v>
      </c>
      <c r="G97" s="224"/>
    </row>
    <row r="98" spans="2:7" ht="16.5" x14ac:dyDescent="0.3">
      <c r="B98" s="220" t="s">
        <v>159</v>
      </c>
      <c r="C98" s="221">
        <v>7</v>
      </c>
      <c r="D98" s="222" t="s">
        <v>1821</v>
      </c>
      <c r="E98" s="222"/>
      <c r="F98" s="223" t="s">
        <v>1509</v>
      </c>
      <c r="G98" s="224"/>
    </row>
    <row r="99" spans="2:7" ht="16.5" customHeight="1" x14ac:dyDescent="0.3">
      <c r="B99" s="220" t="s">
        <v>158</v>
      </c>
      <c r="C99" s="221"/>
      <c r="D99" s="222"/>
      <c r="E99" s="222"/>
      <c r="F99" s="223"/>
      <c r="G99" s="224"/>
    </row>
    <row r="100" spans="2:7" ht="16.5" customHeight="1" x14ac:dyDescent="0.3">
      <c r="B100" s="220" t="s">
        <v>157</v>
      </c>
      <c r="C100" s="221">
        <v>7</v>
      </c>
      <c r="D100" s="222" t="s">
        <v>1819</v>
      </c>
      <c r="E100" s="222"/>
      <c r="F100" s="223" t="s">
        <v>1820</v>
      </c>
      <c r="G100" s="224"/>
    </row>
    <row r="101" spans="2:7" ht="16.5" customHeight="1" x14ac:dyDescent="0.3">
      <c r="B101" s="220" t="s">
        <v>156</v>
      </c>
      <c r="C101" s="221"/>
      <c r="D101" s="222"/>
      <c r="E101" s="222"/>
      <c r="F101" s="223"/>
      <c r="G101" s="224"/>
    </row>
    <row r="102" spans="2:7" ht="16.5" customHeight="1" x14ac:dyDescent="0.3">
      <c r="B102" s="220" t="s">
        <v>155</v>
      </c>
      <c r="C102" s="221">
        <v>7</v>
      </c>
      <c r="D102" s="222" t="s">
        <v>1818</v>
      </c>
      <c r="E102" s="222"/>
      <c r="F102" s="223" t="s">
        <v>1548</v>
      </c>
      <c r="G102" s="224"/>
    </row>
    <row r="103" spans="2:7" ht="16.5" customHeight="1" x14ac:dyDescent="0.3">
      <c r="B103" s="220" t="s">
        <v>136</v>
      </c>
      <c r="C103" s="221">
        <v>8</v>
      </c>
      <c r="D103" s="222" t="s">
        <v>1807</v>
      </c>
      <c r="E103" s="222"/>
      <c r="F103" s="223" t="s">
        <v>1593</v>
      </c>
      <c r="G103" s="224"/>
    </row>
    <row r="104" spans="2:7" ht="16.5" customHeight="1" x14ac:dyDescent="0.3">
      <c r="B104" s="220" t="s">
        <v>137</v>
      </c>
      <c r="C104" s="221">
        <v>7</v>
      </c>
      <c r="D104" s="222" t="s">
        <v>1817</v>
      </c>
      <c r="E104" s="222"/>
      <c r="F104" s="223" t="s">
        <v>1509</v>
      </c>
      <c r="G104" s="224"/>
    </row>
    <row r="105" spans="2:7" ht="16.5" customHeight="1" x14ac:dyDescent="0.3">
      <c r="B105" s="220" t="s">
        <v>138</v>
      </c>
      <c r="C105" s="221"/>
      <c r="D105" s="222"/>
      <c r="E105" s="222"/>
      <c r="F105" s="218"/>
      <c r="G105" s="224"/>
    </row>
    <row r="106" spans="2:7" ht="15" customHeight="1" x14ac:dyDescent="0.3">
      <c r="B106" s="220" t="s">
        <v>139</v>
      </c>
      <c r="C106" s="221">
        <v>8</v>
      </c>
      <c r="D106" s="222" t="s">
        <v>1816</v>
      </c>
      <c r="E106" s="222"/>
      <c r="F106" s="223" t="s">
        <v>1509</v>
      </c>
      <c r="G106" s="224"/>
    </row>
    <row r="107" spans="2:7" ht="16.5" customHeight="1" x14ac:dyDescent="0.3">
      <c r="B107" s="220" t="s">
        <v>140</v>
      </c>
      <c r="C107" s="221">
        <v>8</v>
      </c>
      <c r="D107" s="222" t="s">
        <v>1805</v>
      </c>
      <c r="E107" s="222"/>
      <c r="F107" s="223" t="s">
        <v>1593</v>
      </c>
      <c r="G107" s="224"/>
    </row>
    <row r="108" spans="2:7" ht="16.5" customHeight="1" x14ac:dyDescent="0.3">
      <c r="B108" s="220" t="s">
        <v>141</v>
      </c>
      <c r="C108" s="221">
        <v>8</v>
      </c>
      <c r="D108" s="222" t="s">
        <v>1815</v>
      </c>
      <c r="E108" s="222"/>
      <c r="F108" s="223" t="s">
        <v>1509</v>
      </c>
      <c r="G108" s="224"/>
    </row>
    <row r="109" spans="2:7" ht="16.5" customHeight="1" x14ac:dyDescent="0.3">
      <c r="B109" s="220" t="s">
        <v>9</v>
      </c>
      <c r="C109" s="221"/>
      <c r="D109" s="222"/>
      <c r="E109" s="222"/>
      <c r="F109" s="218"/>
      <c r="G109" s="224"/>
    </row>
    <row r="110" spans="2:7" ht="16.5" customHeight="1" x14ac:dyDescent="0.3">
      <c r="B110" s="220" t="s">
        <v>10</v>
      </c>
      <c r="C110" s="221">
        <v>8</v>
      </c>
      <c r="D110" s="222" t="s">
        <v>1814</v>
      </c>
      <c r="E110" s="222"/>
      <c r="F110" s="223" t="s">
        <v>1509</v>
      </c>
      <c r="G110" s="224"/>
    </row>
    <row r="111" spans="2:7" ht="16.5" customHeight="1" x14ac:dyDescent="0.3">
      <c r="B111" s="220" t="s">
        <v>8</v>
      </c>
      <c r="C111" s="221"/>
      <c r="D111" s="222"/>
      <c r="E111" s="222"/>
      <c r="F111" s="223"/>
      <c r="G111" s="224"/>
    </row>
    <row r="112" spans="2:7" ht="16.5" customHeight="1" x14ac:dyDescent="0.3">
      <c r="B112" s="220" t="s">
        <v>256</v>
      </c>
      <c r="C112" s="221">
        <v>8</v>
      </c>
      <c r="D112" s="222" t="s">
        <v>1813</v>
      </c>
      <c r="E112" s="222"/>
      <c r="F112" s="223" t="s">
        <v>1509</v>
      </c>
      <c r="G112" s="224"/>
    </row>
    <row r="113" spans="2:7" ht="16.5" customHeight="1" x14ac:dyDescent="0.3">
      <c r="B113" s="220" t="s">
        <v>1510</v>
      </c>
      <c r="C113" s="221"/>
      <c r="D113" s="222"/>
      <c r="E113" s="222"/>
      <c r="F113" s="223"/>
      <c r="G113" s="224"/>
    </row>
    <row r="114" spans="2:7" ht="16.5" customHeight="1" x14ac:dyDescent="0.3">
      <c r="B114" s="220" t="s">
        <v>257</v>
      </c>
      <c r="C114" s="221">
        <v>8</v>
      </c>
      <c r="D114" s="222" t="s">
        <v>1812</v>
      </c>
      <c r="E114" s="222"/>
      <c r="F114" s="223" t="s">
        <v>1509</v>
      </c>
      <c r="G114" s="224"/>
    </row>
    <row r="115" spans="2:7" ht="16.5" customHeight="1" x14ac:dyDescent="0.3">
      <c r="B115" s="220" t="s">
        <v>1511</v>
      </c>
      <c r="C115" s="221">
        <v>8</v>
      </c>
      <c r="D115" s="222" t="s">
        <v>1801</v>
      </c>
      <c r="E115" s="222"/>
      <c r="F115" s="223" t="s">
        <v>1606</v>
      </c>
      <c r="G115" s="224"/>
    </row>
    <row r="116" spans="2:7" ht="16.5" customHeight="1" x14ac:dyDescent="0.3">
      <c r="B116" s="220" t="s">
        <v>258</v>
      </c>
      <c r="C116" s="221">
        <v>9</v>
      </c>
      <c r="D116" s="222" t="s">
        <v>1800</v>
      </c>
      <c r="E116" s="222"/>
      <c r="F116" s="223" t="s">
        <v>1509</v>
      </c>
      <c r="G116" s="224"/>
    </row>
    <row r="117" spans="2:7" ht="16.5" customHeight="1" x14ac:dyDescent="0.3">
      <c r="B117" s="220" t="s">
        <v>1512</v>
      </c>
      <c r="C117" s="221"/>
      <c r="D117" s="222"/>
      <c r="E117" s="222"/>
      <c r="F117" s="218"/>
      <c r="G117" s="224"/>
    </row>
    <row r="118" spans="2:7" ht="16.5" customHeight="1" x14ac:dyDescent="0.3">
      <c r="B118" s="220" t="s">
        <v>259</v>
      </c>
      <c r="C118" s="221">
        <v>9</v>
      </c>
      <c r="D118" s="222" t="s">
        <v>1799</v>
      </c>
      <c r="E118" s="222"/>
      <c r="F118" s="223" t="s">
        <v>1548</v>
      </c>
      <c r="G118" s="224"/>
    </row>
    <row r="119" spans="2:7" ht="16.5" customHeight="1" x14ac:dyDescent="0.3">
      <c r="B119" s="220" t="s">
        <v>1513</v>
      </c>
      <c r="C119" s="221"/>
      <c r="D119" s="222"/>
      <c r="E119" s="222"/>
      <c r="F119" s="223"/>
      <c r="G119" s="224"/>
    </row>
    <row r="120" spans="2:7" ht="16.5" customHeight="1" x14ac:dyDescent="0.3">
      <c r="B120" s="220" t="s">
        <v>260</v>
      </c>
      <c r="C120" s="221">
        <v>10</v>
      </c>
      <c r="D120" s="222" t="s">
        <v>1788</v>
      </c>
      <c r="E120" s="222"/>
      <c r="F120" s="223" t="s">
        <v>1509</v>
      </c>
      <c r="G120" s="224"/>
    </row>
    <row r="121" spans="2:7" ht="16.5" customHeight="1" x14ac:dyDescent="0.3">
      <c r="B121" s="220" t="s">
        <v>261</v>
      </c>
      <c r="C121" s="221">
        <v>9</v>
      </c>
      <c r="D121" s="222" t="s">
        <v>1796</v>
      </c>
      <c r="E121" s="222"/>
      <c r="F121" s="223" t="s">
        <v>1593</v>
      </c>
      <c r="G121" s="224"/>
    </row>
    <row r="122" spans="2:7" ht="17.45" customHeight="1" x14ac:dyDescent="0.3">
      <c r="B122" s="220" t="s">
        <v>1514</v>
      </c>
      <c r="C122" s="221">
        <v>10</v>
      </c>
      <c r="D122" s="222" t="s">
        <v>1787</v>
      </c>
      <c r="E122" s="222"/>
      <c r="F122" s="223" t="s">
        <v>1593</v>
      </c>
      <c r="G122" s="224"/>
    </row>
    <row r="123" spans="2:7" ht="16.5" x14ac:dyDescent="0.3">
      <c r="B123" s="220" t="s">
        <v>262</v>
      </c>
      <c r="C123" s="221"/>
      <c r="D123" s="222"/>
      <c r="E123" s="222"/>
      <c r="F123" s="223"/>
      <c r="G123" s="224"/>
    </row>
    <row r="124" spans="2:7" ht="16.5" x14ac:dyDescent="0.3">
      <c r="B124" s="220" t="s">
        <v>1515</v>
      </c>
      <c r="C124" s="221">
        <v>11</v>
      </c>
      <c r="D124" s="222" t="s">
        <v>1786</v>
      </c>
      <c r="E124" s="222"/>
      <c r="F124" s="223" t="s">
        <v>1509</v>
      </c>
      <c r="G124" s="224"/>
    </row>
    <row r="125" spans="2:7" ht="16.5" x14ac:dyDescent="0.3">
      <c r="B125" s="220" t="s">
        <v>1516</v>
      </c>
      <c r="C125" s="221">
        <v>9</v>
      </c>
      <c r="D125" s="222" t="s">
        <v>1794</v>
      </c>
      <c r="E125" s="222"/>
      <c r="F125" s="218" t="s">
        <v>1593</v>
      </c>
      <c r="G125" s="224"/>
    </row>
    <row r="126" spans="2:7" ht="16.5" x14ac:dyDescent="0.3">
      <c r="B126" s="220" t="s">
        <v>1408</v>
      </c>
      <c r="C126" s="221">
        <v>11</v>
      </c>
      <c r="D126" s="222" t="s">
        <v>1785</v>
      </c>
      <c r="E126" s="222"/>
      <c r="F126" s="223" t="s">
        <v>1509</v>
      </c>
      <c r="G126" s="224"/>
    </row>
    <row r="127" spans="2:7" ht="16.5" x14ac:dyDescent="0.3">
      <c r="B127" s="220" t="s">
        <v>1409</v>
      </c>
      <c r="C127" s="221">
        <v>10</v>
      </c>
      <c r="D127" s="222" t="s">
        <v>1793</v>
      </c>
      <c r="E127" s="222"/>
      <c r="F127" s="218" t="s">
        <v>1593</v>
      </c>
      <c r="G127" s="224"/>
    </row>
    <row r="128" spans="2:7" ht="16.5" x14ac:dyDescent="0.3">
      <c r="B128" s="220" t="s">
        <v>1410</v>
      </c>
      <c r="C128" s="221">
        <v>11</v>
      </c>
      <c r="D128" s="222" t="s">
        <v>1784</v>
      </c>
      <c r="E128" s="222"/>
      <c r="F128" s="223" t="s">
        <v>1509</v>
      </c>
      <c r="G128" s="224"/>
    </row>
    <row r="129" spans="2:8" ht="16.5" x14ac:dyDescent="0.3">
      <c r="B129" s="220" t="s">
        <v>1411</v>
      </c>
      <c r="C129" s="221">
        <v>10</v>
      </c>
      <c r="D129" s="222" t="s">
        <v>1792</v>
      </c>
      <c r="E129" s="222"/>
      <c r="F129" s="218" t="s">
        <v>1593</v>
      </c>
      <c r="G129" s="224"/>
    </row>
    <row r="130" spans="2:8" ht="16.5" x14ac:dyDescent="0.3">
      <c r="B130" s="220" t="s">
        <v>1412</v>
      </c>
      <c r="C130" s="221">
        <v>12</v>
      </c>
      <c r="D130" s="222" t="s">
        <v>1778</v>
      </c>
      <c r="E130" s="222"/>
      <c r="F130" s="223" t="s">
        <v>1509</v>
      </c>
      <c r="G130" s="224"/>
    </row>
    <row r="131" spans="2:8" ht="16.5" x14ac:dyDescent="0.3">
      <c r="B131" s="220" t="s">
        <v>1413</v>
      </c>
      <c r="C131" s="221">
        <v>10</v>
      </c>
      <c r="D131" s="222" t="s">
        <v>1791</v>
      </c>
      <c r="E131" s="222"/>
      <c r="F131" s="223" t="s">
        <v>1593</v>
      </c>
      <c r="G131" s="224"/>
    </row>
    <row r="132" spans="2:8" ht="16.5" x14ac:dyDescent="0.3">
      <c r="B132" s="220" t="s">
        <v>1414</v>
      </c>
      <c r="C132" s="221">
        <v>12</v>
      </c>
      <c r="D132" s="222" t="s">
        <v>1777</v>
      </c>
      <c r="E132" s="222"/>
      <c r="F132" s="223" t="s">
        <v>1509</v>
      </c>
      <c r="G132" s="224"/>
    </row>
    <row r="133" spans="2:8" ht="16.5" x14ac:dyDescent="0.3">
      <c r="B133" s="220" t="s">
        <v>1415</v>
      </c>
      <c r="C133" s="221">
        <v>10</v>
      </c>
      <c r="D133" s="222" t="s">
        <v>1790</v>
      </c>
      <c r="E133" s="222"/>
      <c r="F133" s="218" t="s">
        <v>1593</v>
      </c>
      <c r="G133" s="224"/>
    </row>
    <row r="134" spans="2:8" ht="17.25" thickBot="1" x14ac:dyDescent="0.35">
      <c r="B134" s="220" t="s">
        <v>1517</v>
      </c>
      <c r="C134" s="221">
        <v>12</v>
      </c>
      <c r="D134" s="222" t="s">
        <v>1776</v>
      </c>
      <c r="E134" s="222"/>
      <c r="F134" s="218" t="s">
        <v>1509</v>
      </c>
      <c r="G134" s="224"/>
      <c r="H134" s="400"/>
    </row>
    <row r="135" spans="2:8" ht="16.5" x14ac:dyDescent="0.3">
      <c r="B135" s="220" t="s">
        <v>1416</v>
      </c>
      <c r="C135" s="221">
        <v>10</v>
      </c>
      <c r="D135" s="222" t="s">
        <v>1789</v>
      </c>
      <c r="E135" s="222"/>
      <c r="F135" s="218" t="s">
        <v>1593</v>
      </c>
      <c r="G135" s="224"/>
    </row>
    <row r="136" spans="2:8" ht="16.5" x14ac:dyDescent="0.3">
      <c r="B136" s="220" t="s">
        <v>1417</v>
      </c>
      <c r="C136" s="221">
        <v>12</v>
      </c>
      <c r="D136" s="222" t="s">
        <v>1775</v>
      </c>
      <c r="E136" s="222"/>
      <c r="F136" s="223" t="s">
        <v>1509</v>
      </c>
      <c r="G136" s="224"/>
    </row>
    <row r="137" spans="2:8" ht="16.5" x14ac:dyDescent="0.3">
      <c r="B137" s="220" t="s">
        <v>1418</v>
      </c>
      <c r="C137" s="221">
        <v>11</v>
      </c>
      <c r="D137" s="222" t="s">
        <v>1783</v>
      </c>
      <c r="E137" s="222"/>
      <c r="F137" s="218" t="s">
        <v>1593</v>
      </c>
      <c r="G137" s="224"/>
    </row>
    <row r="138" spans="2:8" ht="16.5" x14ac:dyDescent="0.3">
      <c r="B138" s="220" t="s">
        <v>1419</v>
      </c>
      <c r="C138" s="221">
        <v>12</v>
      </c>
      <c r="D138" s="222" t="s">
        <v>1774</v>
      </c>
      <c r="E138" s="222"/>
      <c r="F138" s="223" t="s">
        <v>1509</v>
      </c>
      <c r="G138" s="224"/>
    </row>
    <row r="139" spans="2:8" ht="16.5" x14ac:dyDescent="0.3">
      <c r="B139" s="220" t="s">
        <v>1420</v>
      </c>
      <c r="C139" s="221">
        <v>11</v>
      </c>
      <c r="D139" s="222" t="s">
        <v>1782</v>
      </c>
      <c r="E139" s="222"/>
      <c r="F139" s="218" t="s">
        <v>1593</v>
      </c>
      <c r="G139" s="224"/>
    </row>
    <row r="140" spans="2:8" ht="16.5" x14ac:dyDescent="0.3">
      <c r="B140" s="220" t="s">
        <v>1421</v>
      </c>
      <c r="C140" s="221">
        <v>12</v>
      </c>
      <c r="D140" s="222" t="s">
        <v>1773</v>
      </c>
      <c r="E140" s="222"/>
      <c r="F140" s="218" t="s">
        <v>1509</v>
      </c>
      <c r="G140" s="224"/>
    </row>
    <row r="141" spans="2:8" ht="16.5" x14ac:dyDescent="0.3">
      <c r="B141" s="220" t="s">
        <v>1422</v>
      </c>
      <c r="C141" s="221">
        <v>11</v>
      </c>
      <c r="D141" s="222" t="s">
        <v>1781</v>
      </c>
      <c r="E141" s="222"/>
      <c r="F141" s="218" t="s">
        <v>1593</v>
      </c>
      <c r="G141" s="224"/>
    </row>
    <row r="142" spans="2:8" ht="16.5" x14ac:dyDescent="0.3">
      <c r="B142" s="220" t="s">
        <v>1423</v>
      </c>
      <c r="C142" s="221">
        <v>12</v>
      </c>
      <c r="D142" s="222" t="s">
        <v>1772</v>
      </c>
      <c r="E142" s="222"/>
      <c r="F142" s="223" t="s">
        <v>1509</v>
      </c>
      <c r="G142" s="224"/>
    </row>
    <row r="143" spans="2:8" ht="16.5" x14ac:dyDescent="0.3">
      <c r="B143" s="220" t="s">
        <v>1540</v>
      </c>
      <c r="C143" s="221">
        <v>11</v>
      </c>
      <c r="D143" s="222" t="s">
        <v>1780</v>
      </c>
      <c r="E143" s="222"/>
      <c r="F143" s="218" t="s">
        <v>1593</v>
      </c>
      <c r="G143" s="224"/>
    </row>
    <row r="144" spans="2:8" ht="16.5" x14ac:dyDescent="0.3">
      <c r="B144" s="220" t="s">
        <v>1424</v>
      </c>
      <c r="C144" s="221">
        <v>12</v>
      </c>
      <c r="D144" s="222" t="s">
        <v>1771</v>
      </c>
      <c r="E144" s="222"/>
      <c r="F144" s="218" t="s">
        <v>1509</v>
      </c>
      <c r="G144" s="224"/>
    </row>
    <row r="145" spans="1:7" ht="16.5" x14ac:dyDescent="0.3">
      <c r="B145" s="220" t="s">
        <v>1425</v>
      </c>
      <c r="C145" s="221">
        <v>12</v>
      </c>
      <c r="D145" s="222" t="s">
        <v>1779</v>
      </c>
      <c r="E145" s="222"/>
      <c r="F145" s="218" t="s">
        <v>1593</v>
      </c>
      <c r="G145" s="224"/>
    </row>
    <row r="146" spans="1:7" ht="17.25" thickBot="1" x14ac:dyDescent="0.35">
      <c r="A146" s="400"/>
      <c r="B146" s="407" t="s">
        <v>1426</v>
      </c>
      <c r="C146" s="229">
        <v>12</v>
      </c>
      <c r="D146" s="230" t="s">
        <v>1770</v>
      </c>
      <c r="E146" s="222"/>
      <c r="F146" s="405" t="s">
        <v>1509</v>
      </c>
      <c r="G146" s="231"/>
    </row>
    <row r="147" spans="1:7" ht="16.5" customHeight="1" x14ac:dyDescent="0.3">
      <c r="B147" s="406" t="s">
        <v>1518</v>
      </c>
      <c r="C147" s="216">
        <v>9</v>
      </c>
      <c r="D147" s="217" t="s">
        <v>1581</v>
      </c>
      <c r="E147" s="217"/>
      <c r="F147" s="218" t="s">
        <v>1509</v>
      </c>
      <c r="G147" s="219"/>
    </row>
    <row r="148" spans="1:7" ht="16.5" customHeight="1" x14ac:dyDescent="0.3">
      <c r="B148" s="225" t="s">
        <v>1519</v>
      </c>
      <c r="C148" s="221">
        <v>9</v>
      </c>
      <c r="D148" s="222" t="s">
        <v>1582</v>
      </c>
      <c r="E148" s="222"/>
      <c r="F148" s="218" t="s">
        <v>1548</v>
      </c>
      <c r="G148" s="224"/>
    </row>
    <row r="149" spans="1:7" ht="16.5" customHeight="1" x14ac:dyDescent="0.3">
      <c r="A149" s="409"/>
      <c r="B149" s="225" t="s">
        <v>1496</v>
      </c>
      <c r="C149" s="221">
        <v>9</v>
      </c>
      <c r="D149" s="222" t="s">
        <v>1583</v>
      </c>
      <c r="E149" s="222"/>
      <c r="F149" s="218" t="s">
        <v>1509</v>
      </c>
      <c r="G149" s="224"/>
    </row>
    <row r="150" spans="1:7" ht="16.5" customHeight="1" x14ac:dyDescent="0.3">
      <c r="B150" s="225" t="s">
        <v>329</v>
      </c>
      <c r="C150" s="221">
        <v>3</v>
      </c>
      <c r="D150" s="222" t="s">
        <v>1647</v>
      </c>
      <c r="E150" s="222"/>
      <c r="F150" s="218" t="s">
        <v>1509</v>
      </c>
      <c r="G150" s="224"/>
    </row>
    <row r="151" spans="1:7" ht="16.5" customHeight="1" x14ac:dyDescent="0.3">
      <c r="B151" s="225" t="s">
        <v>330</v>
      </c>
      <c r="C151" s="221">
        <v>4</v>
      </c>
      <c r="D151" s="222" t="s">
        <v>1656</v>
      </c>
      <c r="E151" s="222"/>
      <c r="F151" s="218" t="s">
        <v>1593</v>
      </c>
      <c r="G151" s="224"/>
    </row>
    <row r="152" spans="1:7" ht="16.5" customHeight="1" x14ac:dyDescent="0.3">
      <c r="B152" s="225" t="s">
        <v>1495</v>
      </c>
      <c r="C152" s="221">
        <v>3</v>
      </c>
      <c r="D152" s="222" t="s">
        <v>1648</v>
      </c>
      <c r="E152" s="222"/>
      <c r="F152" s="218" t="s">
        <v>1548</v>
      </c>
      <c r="G152" s="224"/>
    </row>
    <row r="153" spans="1:7" ht="16.5" customHeight="1" x14ac:dyDescent="0.3">
      <c r="B153" s="225" t="s">
        <v>331</v>
      </c>
      <c r="C153" s="221">
        <v>4</v>
      </c>
      <c r="D153" s="222" t="s">
        <v>1657</v>
      </c>
      <c r="E153" s="222"/>
      <c r="F153" s="218" t="s">
        <v>1593</v>
      </c>
      <c r="G153" s="224"/>
    </row>
    <row r="154" spans="1:7" ht="16.5" customHeight="1" x14ac:dyDescent="0.3">
      <c r="B154" s="225" t="s">
        <v>1494</v>
      </c>
      <c r="C154" s="221">
        <v>3</v>
      </c>
      <c r="D154" s="222" t="s">
        <v>1649</v>
      </c>
      <c r="E154" s="222"/>
      <c r="F154" s="218" t="s">
        <v>1509</v>
      </c>
      <c r="G154" s="224"/>
    </row>
    <row r="155" spans="1:7" ht="16.5" customHeight="1" x14ac:dyDescent="0.3">
      <c r="B155" s="225" t="s">
        <v>332</v>
      </c>
      <c r="C155" s="221">
        <v>5</v>
      </c>
      <c r="D155" s="222" t="s">
        <v>1658</v>
      </c>
      <c r="E155" s="222"/>
      <c r="F155" s="218" t="s">
        <v>1593</v>
      </c>
      <c r="G155" s="224"/>
    </row>
    <row r="156" spans="1:7" ht="16.5" customHeight="1" x14ac:dyDescent="0.3">
      <c r="B156" s="225" t="s">
        <v>1493</v>
      </c>
      <c r="C156" s="221">
        <v>4</v>
      </c>
      <c r="D156" s="222" t="s">
        <v>1660</v>
      </c>
      <c r="E156" s="222"/>
      <c r="F156" s="223" t="s">
        <v>1593</v>
      </c>
      <c r="G156" s="224"/>
    </row>
    <row r="157" spans="1:7" ht="16.5" x14ac:dyDescent="0.3">
      <c r="B157" s="225" t="s">
        <v>333</v>
      </c>
      <c r="C157" s="221">
        <v>5</v>
      </c>
      <c r="D157" s="222" t="s">
        <v>1659</v>
      </c>
      <c r="E157" s="222"/>
      <c r="F157" s="218" t="s">
        <v>1593</v>
      </c>
      <c r="G157" s="224"/>
    </row>
    <row r="158" spans="1:7" ht="16.5" customHeight="1" x14ac:dyDescent="0.3">
      <c r="B158" s="225" t="s">
        <v>1492</v>
      </c>
      <c r="C158" s="221">
        <v>4</v>
      </c>
      <c r="D158" s="222" t="s">
        <v>1661</v>
      </c>
      <c r="E158" s="222"/>
      <c r="F158" s="218" t="s">
        <v>1593</v>
      </c>
      <c r="G158" s="224"/>
    </row>
    <row r="159" spans="1:7" ht="16.5" customHeight="1" x14ac:dyDescent="0.3">
      <c r="B159" s="225" t="s">
        <v>334</v>
      </c>
      <c r="C159" s="221">
        <v>9</v>
      </c>
      <c r="D159" s="222" t="s">
        <v>1584</v>
      </c>
      <c r="E159" s="222"/>
      <c r="F159" s="218" t="s">
        <v>1897</v>
      </c>
      <c r="G159" s="224"/>
    </row>
    <row r="160" spans="1:7" ht="16.5" x14ac:dyDescent="0.3">
      <c r="B160" s="225" t="s">
        <v>1491</v>
      </c>
      <c r="C160" s="221">
        <v>10</v>
      </c>
      <c r="D160" s="222" t="s">
        <v>1585</v>
      </c>
      <c r="E160" s="222"/>
      <c r="F160" s="218" t="s">
        <v>1593</v>
      </c>
      <c r="G160" s="224"/>
    </row>
    <row r="161" spans="2:7" ht="16.5" customHeight="1" x14ac:dyDescent="0.3">
      <c r="B161" s="225" t="s">
        <v>335</v>
      </c>
      <c r="C161" s="221">
        <v>3</v>
      </c>
      <c r="D161" s="222" t="s">
        <v>1638</v>
      </c>
      <c r="E161" s="222"/>
      <c r="F161" s="218" t="s">
        <v>1593</v>
      </c>
      <c r="G161" s="224"/>
    </row>
    <row r="162" spans="2:7" ht="16.5" customHeight="1" x14ac:dyDescent="0.3">
      <c r="B162" s="225" t="s">
        <v>1490</v>
      </c>
      <c r="C162" s="221">
        <v>3</v>
      </c>
      <c r="D162" s="222" t="s">
        <v>1896</v>
      </c>
      <c r="E162" s="222"/>
      <c r="F162" s="218" t="s">
        <v>1548</v>
      </c>
      <c r="G162" s="224"/>
    </row>
    <row r="163" spans="2:7" ht="16.5" customHeight="1" x14ac:dyDescent="0.3">
      <c r="B163" s="225" t="s">
        <v>336</v>
      </c>
      <c r="C163" s="221">
        <v>3</v>
      </c>
      <c r="D163" s="222" t="s">
        <v>1640</v>
      </c>
      <c r="E163" s="222"/>
      <c r="F163" s="218" t="s">
        <v>1593</v>
      </c>
      <c r="G163" s="224"/>
    </row>
    <row r="164" spans="2:7" ht="16.5" customHeight="1" x14ac:dyDescent="0.3">
      <c r="B164" s="225" t="s">
        <v>1489</v>
      </c>
      <c r="C164" s="221">
        <v>3</v>
      </c>
      <c r="D164" s="222" t="s">
        <v>1641</v>
      </c>
      <c r="E164" s="222"/>
      <c r="F164" s="218" t="s">
        <v>1509</v>
      </c>
      <c r="G164" s="224"/>
    </row>
    <row r="165" spans="2:7" ht="16.5" customHeight="1" x14ac:dyDescent="0.3">
      <c r="B165" s="225" t="s">
        <v>337</v>
      </c>
      <c r="C165" s="221">
        <v>4</v>
      </c>
      <c r="D165" s="222" t="s">
        <v>1650</v>
      </c>
      <c r="E165" s="222"/>
      <c r="F165" s="218" t="s">
        <v>1593</v>
      </c>
      <c r="G165" s="224"/>
    </row>
    <row r="166" spans="2:7" ht="16.5" x14ac:dyDescent="0.3">
      <c r="B166" s="225" t="s">
        <v>1488</v>
      </c>
      <c r="C166" s="221">
        <v>3</v>
      </c>
      <c r="D166" s="222" t="s">
        <v>1642</v>
      </c>
      <c r="E166" s="222"/>
      <c r="F166" s="218" t="s">
        <v>1509</v>
      </c>
      <c r="G166" s="224"/>
    </row>
    <row r="167" spans="2:7" ht="16.5" customHeight="1" x14ac:dyDescent="0.3">
      <c r="B167" s="225" t="s">
        <v>338</v>
      </c>
      <c r="C167" s="221">
        <v>4</v>
      </c>
      <c r="D167" s="222" t="s">
        <v>1651</v>
      </c>
      <c r="E167" s="222"/>
      <c r="F167" s="218" t="s">
        <v>1593</v>
      </c>
      <c r="G167" s="224"/>
    </row>
    <row r="168" spans="2:7" ht="16.5" customHeight="1" x14ac:dyDescent="0.3">
      <c r="B168" s="225" t="s">
        <v>1487</v>
      </c>
      <c r="C168" s="221">
        <v>3</v>
      </c>
      <c r="D168" s="222" t="s">
        <v>1643</v>
      </c>
      <c r="E168" s="222"/>
      <c r="F168" s="218" t="s">
        <v>1509</v>
      </c>
      <c r="G168" s="224"/>
    </row>
    <row r="169" spans="2:7" ht="16.5" customHeight="1" x14ac:dyDescent="0.3">
      <c r="B169" s="225" t="s">
        <v>339</v>
      </c>
      <c r="C169" s="221">
        <v>4</v>
      </c>
      <c r="D169" s="222" t="s">
        <v>1652</v>
      </c>
      <c r="E169" s="222"/>
      <c r="F169" s="218" t="s">
        <v>1593</v>
      </c>
      <c r="G169" s="224"/>
    </row>
    <row r="170" spans="2:7" ht="16.5" customHeight="1" x14ac:dyDescent="0.3">
      <c r="B170" s="225" t="s">
        <v>1486</v>
      </c>
      <c r="C170" s="221">
        <v>3</v>
      </c>
      <c r="D170" s="222" t="s">
        <v>1644</v>
      </c>
      <c r="E170" s="222"/>
      <c r="F170" s="218" t="s">
        <v>1509</v>
      </c>
      <c r="G170" s="224"/>
    </row>
    <row r="171" spans="2:7" ht="16.5" customHeight="1" x14ac:dyDescent="0.3">
      <c r="B171" s="225" t="s">
        <v>340</v>
      </c>
      <c r="C171" s="221">
        <v>4</v>
      </c>
      <c r="D171" s="222" t="s">
        <v>1653</v>
      </c>
      <c r="E171" s="222"/>
      <c r="F171" s="218" t="s">
        <v>1593</v>
      </c>
      <c r="G171" s="224"/>
    </row>
    <row r="172" spans="2:7" ht="16.5" customHeight="1" x14ac:dyDescent="0.3">
      <c r="B172" s="225" t="s">
        <v>1485</v>
      </c>
      <c r="C172" s="221">
        <v>3</v>
      </c>
      <c r="D172" s="222" t="s">
        <v>1645</v>
      </c>
      <c r="E172" s="222"/>
      <c r="F172" s="218" t="s">
        <v>1548</v>
      </c>
      <c r="G172" s="224"/>
    </row>
    <row r="173" spans="2:7" ht="16.5" customHeight="1" x14ac:dyDescent="0.3">
      <c r="B173" s="225" t="s">
        <v>341</v>
      </c>
      <c r="C173" s="221">
        <v>4</v>
      </c>
      <c r="D173" s="222" t="s">
        <v>1654</v>
      </c>
      <c r="E173" s="222"/>
      <c r="F173" s="218" t="s">
        <v>1593</v>
      </c>
      <c r="G173" s="224"/>
    </row>
    <row r="174" spans="2:7" ht="16.5" customHeight="1" x14ac:dyDescent="0.3">
      <c r="B174" s="225" t="s">
        <v>1484</v>
      </c>
      <c r="C174" s="221">
        <v>3</v>
      </c>
      <c r="D174" s="222" t="s">
        <v>1646</v>
      </c>
      <c r="E174" s="222"/>
      <c r="F174" s="218" t="s">
        <v>1593</v>
      </c>
      <c r="G174" s="224"/>
    </row>
    <row r="175" spans="2:7" ht="16.5" customHeight="1" x14ac:dyDescent="0.3">
      <c r="B175" s="225" t="s">
        <v>342</v>
      </c>
      <c r="C175" s="221">
        <v>4</v>
      </c>
      <c r="D175" s="222" t="s">
        <v>1655</v>
      </c>
      <c r="E175" s="222"/>
      <c r="F175" s="218" t="s">
        <v>1593</v>
      </c>
      <c r="G175" s="224"/>
    </row>
    <row r="176" spans="2:7" ht="16.5" customHeight="1" x14ac:dyDescent="0.3">
      <c r="B176" s="225" t="s">
        <v>1483</v>
      </c>
      <c r="C176" s="221">
        <v>4</v>
      </c>
      <c r="D176" s="222" t="s">
        <v>1894</v>
      </c>
      <c r="E176" s="222"/>
      <c r="F176" s="218" t="s">
        <v>1593</v>
      </c>
      <c r="G176" s="224"/>
    </row>
    <row r="177" spans="2:7" ht="16.5" customHeight="1" x14ac:dyDescent="0.3">
      <c r="B177" s="225" t="s">
        <v>343</v>
      </c>
      <c r="C177" s="221">
        <v>10</v>
      </c>
      <c r="D177" s="222" t="s">
        <v>1587</v>
      </c>
      <c r="E177" s="222"/>
      <c r="F177" s="218" t="s">
        <v>1509</v>
      </c>
      <c r="G177" s="224"/>
    </row>
    <row r="178" spans="2:7" ht="17.45" customHeight="1" x14ac:dyDescent="0.3">
      <c r="B178" s="225" t="s">
        <v>1482</v>
      </c>
      <c r="C178" s="221">
        <v>2</v>
      </c>
      <c r="D178" s="222" t="s">
        <v>1624</v>
      </c>
      <c r="E178" s="222"/>
      <c r="F178" s="218" t="s">
        <v>1593</v>
      </c>
      <c r="G178" s="224"/>
    </row>
    <row r="179" spans="2:7" ht="16.5" customHeight="1" x14ac:dyDescent="0.3">
      <c r="B179" s="225" t="s">
        <v>344</v>
      </c>
      <c r="C179" s="221">
        <v>2</v>
      </c>
      <c r="D179" s="222" t="s">
        <v>1625</v>
      </c>
      <c r="E179" s="222"/>
      <c r="F179" s="218" t="s">
        <v>1509</v>
      </c>
      <c r="G179" s="224"/>
    </row>
    <row r="180" spans="2:7" ht="16.5" customHeight="1" x14ac:dyDescent="0.3">
      <c r="B180" s="225" t="s">
        <v>1481</v>
      </c>
      <c r="C180" s="221">
        <v>2</v>
      </c>
      <c r="D180" s="222" t="s">
        <v>1626</v>
      </c>
      <c r="E180" s="222"/>
      <c r="F180" s="218" t="s">
        <v>1593</v>
      </c>
      <c r="G180" s="224"/>
    </row>
    <row r="181" spans="2:7" ht="16.5" customHeight="1" x14ac:dyDescent="0.3">
      <c r="B181" s="225" t="s">
        <v>345</v>
      </c>
      <c r="C181" s="221">
        <v>2</v>
      </c>
      <c r="D181" s="222" t="s">
        <v>1898</v>
      </c>
      <c r="E181" s="222"/>
      <c r="F181" s="218" t="s">
        <v>1593</v>
      </c>
      <c r="G181" s="224"/>
    </row>
    <row r="182" spans="2:7" ht="16.5" customHeight="1" x14ac:dyDescent="0.3">
      <c r="B182" s="225" t="s">
        <v>1480</v>
      </c>
      <c r="C182" s="221">
        <v>2</v>
      </c>
      <c r="D182" s="222" t="s">
        <v>1627</v>
      </c>
      <c r="E182" s="222"/>
      <c r="F182" s="218" t="s">
        <v>1593</v>
      </c>
      <c r="G182" s="224"/>
    </row>
    <row r="183" spans="2:7" ht="16.5" x14ac:dyDescent="0.3">
      <c r="B183" s="225" t="s">
        <v>346</v>
      </c>
      <c r="C183" s="221">
        <v>2</v>
      </c>
      <c r="D183" s="222" t="s">
        <v>1628</v>
      </c>
      <c r="E183" s="222"/>
      <c r="F183" s="218" t="s">
        <v>1593</v>
      </c>
      <c r="G183" s="224"/>
    </row>
    <row r="184" spans="2:7" ht="16.5" customHeight="1" x14ac:dyDescent="0.3">
      <c r="B184" s="225" t="s">
        <v>1479</v>
      </c>
      <c r="C184" s="221">
        <v>2</v>
      </c>
      <c r="D184" s="222" t="s">
        <v>1629</v>
      </c>
      <c r="E184" s="222"/>
      <c r="F184" s="218" t="s">
        <v>1593</v>
      </c>
      <c r="G184" s="224"/>
    </row>
    <row r="185" spans="2:7" ht="16.5" customHeight="1" x14ac:dyDescent="0.3">
      <c r="B185" s="225" t="s">
        <v>347</v>
      </c>
      <c r="C185" s="221">
        <v>2</v>
      </c>
      <c r="D185" s="222" t="s">
        <v>1630</v>
      </c>
      <c r="E185" s="222"/>
      <c r="F185" s="218" t="s">
        <v>1509</v>
      </c>
      <c r="G185" s="224"/>
    </row>
    <row r="186" spans="2:7" ht="16.5" customHeight="1" x14ac:dyDescent="0.3">
      <c r="B186" s="225" t="s">
        <v>1478</v>
      </c>
      <c r="C186" s="221">
        <v>3</v>
      </c>
      <c r="D186" s="222" t="s">
        <v>1634</v>
      </c>
      <c r="E186" s="222"/>
      <c r="F186" s="218" t="s">
        <v>1593</v>
      </c>
      <c r="G186" s="224"/>
    </row>
    <row r="187" spans="2:7" ht="16.5" customHeight="1" x14ac:dyDescent="0.3">
      <c r="B187" s="225" t="s">
        <v>348</v>
      </c>
      <c r="C187" s="221">
        <v>2</v>
      </c>
      <c r="D187" s="222" t="s">
        <v>1631</v>
      </c>
      <c r="E187" s="222"/>
      <c r="F187" s="218" t="s">
        <v>1548</v>
      </c>
      <c r="G187" s="224"/>
    </row>
    <row r="188" spans="2:7" ht="16.5" customHeight="1" x14ac:dyDescent="0.3">
      <c r="B188" s="225" t="s">
        <v>1477</v>
      </c>
      <c r="C188" s="221">
        <v>3</v>
      </c>
      <c r="D188" s="222" t="s">
        <v>1635</v>
      </c>
      <c r="E188" s="222"/>
      <c r="F188" s="218" t="s">
        <v>1593</v>
      </c>
      <c r="G188" s="224"/>
    </row>
    <row r="189" spans="2:7" ht="16.5" customHeight="1" x14ac:dyDescent="0.3">
      <c r="B189" s="225" t="s">
        <v>349</v>
      </c>
      <c r="C189" s="221">
        <v>2</v>
      </c>
      <c r="D189" s="222" t="s">
        <v>1632</v>
      </c>
      <c r="E189" s="222"/>
      <c r="F189" s="218" t="s">
        <v>1509</v>
      </c>
      <c r="G189" s="224"/>
    </row>
    <row r="190" spans="2:7" ht="16.5" customHeight="1" x14ac:dyDescent="0.3">
      <c r="B190" s="225" t="s">
        <v>1476</v>
      </c>
      <c r="C190" s="221">
        <v>3</v>
      </c>
      <c r="D190" s="222" t="s">
        <v>1636</v>
      </c>
      <c r="E190" s="222"/>
      <c r="F190" s="218" t="s">
        <v>1593</v>
      </c>
      <c r="G190" s="224"/>
    </row>
    <row r="191" spans="2:7" ht="16.5" customHeight="1" x14ac:dyDescent="0.3">
      <c r="B191" s="225" t="s">
        <v>350</v>
      </c>
      <c r="C191" s="221">
        <v>3</v>
      </c>
      <c r="D191" s="222" t="s">
        <v>1633</v>
      </c>
      <c r="E191" s="222"/>
      <c r="F191" s="218" t="s">
        <v>1593</v>
      </c>
      <c r="G191" s="224"/>
    </row>
    <row r="192" spans="2:7" ht="16.5" customHeight="1" x14ac:dyDescent="0.3">
      <c r="B192" s="225" t="s">
        <v>1475</v>
      </c>
      <c r="C192" s="221">
        <v>3</v>
      </c>
      <c r="D192" s="222" t="s">
        <v>1637</v>
      </c>
      <c r="E192" s="222"/>
      <c r="F192" s="218" t="s">
        <v>1593</v>
      </c>
      <c r="G192" s="224"/>
    </row>
    <row r="193" spans="2:8" ht="16.5" customHeight="1" x14ac:dyDescent="0.3">
      <c r="B193" s="225" t="s">
        <v>351</v>
      </c>
      <c r="C193" s="221">
        <v>3</v>
      </c>
      <c r="D193" s="222" t="s">
        <v>1570</v>
      </c>
      <c r="E193" s="222"/>
      <c r="F193" s="223" t="s">
        <v>1593</v>
      </c>
      <c r="G193" s="224"/>
    </row>
    <row r="194" spans="2:8" ht="16.5" customHeight="1" x14ac:dyDescent="0.3">
      <c r="B194" s="225" t="s">
        <v>1474</v>
      </c>
      <c r="C194" s="221">
        <v>11</v>
      </c>
      <c r="D194" s="222" t="s">
        <v>1589</v>
      </c>
      <c r="E194" s="222"/>
      <c r="F194" s="218" t="s">
        <v>1509</v>
      </c>
      <c r="G194" s="224"/>
    </row>
    <row r="195" spans="2:8" ht="16.5" x14ac:dyDescent="0.3">
      <c r="B195" s="225" t="s">
        <v>352</v>
      </c>
      <c r="C195" s="221">
        <v>1</v>
      </c>
      <c r="D195" s="222" t="s">
        <v>1609</v>
      </c>
      <c r="E195" s="222"/>
      <c r="F195" s="218" t="s">
        <v>1593</v>
      </c>
      <c r="G195" s="224"/>
      <c r="H195" s="460"/>
    </row>
    <row r="196" spans="2:8" ht="16.5" customHeight="1" x14ac:dyDescent="0.3">
      <c r="B196" s="225" t="s">
        <v>1473</v>
      </c>
      <c r="C196" s="221">
        <v>1</v>
      </c>
      <c r="D196" s="222" t="s">
        <v>1610</v>
      </c>
      <c r="E196" s="222"/>
      <c r="F196" s="218" t="s">
        <v>1593</v>
      </c>
      <c r="G196" s="224"/>
    </row>
    <row r="197" spans="2:8" ht="16.5" customHeight="1" x14ac:dyDescent="0.3">
      <c r="B197" s="225" t="s">
        <v>353</v>
      </c>
      <c r="C197" s="221">
        <v>1</v>
      </c>
      <c r="D197" s="222" t="s">
        <v>1611</v>
      </c>
      <c r="E197" s="222"/>
      <c r="F197" s="218" t="s">
        <v>1593</v>
      </c>
      <c r="G197" s="224"/>
    </row>
    <row r="198" spans="2:8" ht="16.5" x14ac:dyDescent="0.3">
      <c r="B198" s="225" t="s">
        <v>1472</v>
      </c>
      <c r="C198" s="221">
        <v>1</v>
      </c>
      <c r="D198" s="222" t="s">
        <v>1612</v>
      </c>
      <c r="E198" s="222"/>
      <c r="F198" s="218" t="s">
        <v>1548</v>
      </c>
      <c r="G198" s="224"/>
    </row>
    <row r="199" spans="2:8" ht="16.5" customHeight="1" x14ac:dyDescent="0.3">
      <c r="B199" s="225" t="s">
        <v>354</v>
      </c>
      <c r="C199" s="221">
        <v>1</v>
      </c>
      <c r="D199" s="222" t="s">
        <v>1613</v>
      </c>
      <c r="E199" s="222"/>
      <c r="F199" s="223" t="s">
        <v>1593</v>
      </c>
      <c r="G199" s="224"/>
    </row>
    <row r="200" spans="2:8" ht="16.5" customHeight="1" x14ac:dyDescent="0.3">
      <c r="B200" s="225" t="s">
        <v>1471</v>
      </c>
      <c r="C200" s="221">
        <v>1</v>
      </c>
      <c r="D200" s="222" t="s">
        <v>1614</v>
      </c>
      <c r="E200" s="222"/>
      <c r="F200" s="223" t="s">
        <v>1548</v>
      </c>
      <c r="G200" s="224"/>
    </row>
    <row r="201" spans="2:8" ht="16.5" customHeight="1" x14ac:dyDescent="0.3">
      <c r="B201" s="225" t="s">
        <v>355</v>
      </c>
      <c r="C201" s="221">
        <v>1</v>
      </c>
      <c r="D201" s="222" t="s">
        <v>1615</v>
      </c>
      <c r="E201" s="222"/>
      <c r="F201" s="223" t="s">
        <v>1593</v>
      </c>
      <c r="G201" s="224"/>
    </row>
    <row r="202" spans="2:8" ht="16.5" customHeight="1" x14ac:dyDescent="0.3">
      <c r="B202" s="225" t="s">
        <v>1470</v>
      </c>
      <c r="C202" s="221">
        <v>2</v>
      </c>
      <c r="D202" s="222" t="s">
        <v>1616</v>
      </c>
      <c r="E202" s="222"/>
      <c r="F202" s="223" t="s">
        <v>1593</v>
      </c>
      <c r="G202" s="224"/>
    </row>
    <row r="203" spans="2:8" ht="16.5" customHeight="1" x14ac:dyDescent="0.3">
      <c r="B203" s="225" t="s">
        <v>356</v>
      </c>
      <c r="C203" s="221">
        <v>2</v>
      </c>
      <c r="D203" s="222" t="s">
        <v>1617</v>
      </c>
      <c r="E203" s="222"/>
      <c r="F203" s="223" t="s">
        <v>1548</v>
      </c>
      <c r="G203" s="224"/>
    </row>
    <row r="204" spans="2:8" ht="16.5" customHeight="1" x14ac:dyDescent="0.3">
      <c r="B204" s="225" t="s">
        <v>1469</v>
      </c>
      <c r="C204" s="221">
        <v>2</v>
      </c>
      <c r="D204" s="222" t="s">
        <v>1618</v>
      </c>
      <c r="E204" s="222"/>
      <c r="F204" s="223" t="s">
        <v>1548</v>
      </c>
      <c r="G204" s="224"/>
    </row>
    <row r="205" spans="2:8" ht="16.5" customHeight="1" x14ac:dyDescent="0.3">
      <c r="B205" s="225" t="s">
        <v>357</v>
      </c>
      <c r="C205" s="221">
        <v>2</v>
      </c>
      <c r="D205" s="222" t="s">
        <v>1619</v>
      </c>
      <c r="E205" s="222"/>
      <c r="F205" s="223" t="s">
        <v>1593</v>
      </c>
      <c r="G205" s="224"/>
    </row>
    <row r="206" spans="2:8" ht="16.5" customHeight="1" x14ac:dyDescent="0.3">
      <c r="B206" s="225" t="s">
        <v>1468</v>
      </c>
      <c r="C206" s="221">
        <v>2</v>
      </c>
      <c r="D206" s="222" t="s">
        <v>1620</v>
      </c>
      <c r="E206" s="222"/>
      <c r="F206" s="223" t="s">
        <v>1509</v>
      </c>
      <c r="G206" s="224"/>
    </row>
    <row r="207" spans="2:8" ht="16.5" x14ac:dyDescent="0.3">
      <c r="B207" s="225" t="s">
        <v>358</v>
      </c>
      <c r="C207" s="221">
        <v>2</v>
      </c>
      <c r="D207" s="222" t="s">
        <v>1621</v>
      </c>
      <c r="E207" s="222"/>
      <c r="F207" s="223" t="s">
        <v>1593</v>
      </c>
      <c r="G207" s="224"/>
    </row>
    <row r="208" spans="2:8" ht="16.5" x14ac:dyDescent="0.3">
      <c r="B208" s="225" t="s">
        <v>1467</v>
      </c>
      <c r="C208" s="221">
        <v>2</v>
      </c>
      <c r="D208" s="222" t="s">
        <v>1622</v>
      </c>
      <c r="E208" s="222"/>
      <c r="F208" s="223" t="s">
        <v>1509</v>
      </c>
      <c r="G208" s="224"/>
    </row>
    <row r="209" spans="2:11" ht="16.5" x14ac:dyDescent="0.3">
      <c r="B209" s="225" t="s">
        <v>359</v>
      </c>
      <c r="C209" s="221">
        <v>2</v>
      </c>
      <c r="D209" s="222" t="s">
        <v>1623</v>
      </c>
      <c r="E209" s="222"/>
      <c r="F209" s="223" t="s">
        <v>1593</v>
      </c>
      <c r="G209" s="224"/>
    </row>
    <row r="210" spans="2:11" ht="16.5" x14ac:dyDescent="0.3">
      <c r="B210" s="225" t="s">
        <v>1466</v>
      </c>
      <c r="C210" s="221">
        <v>11</v>
      </c>
      <c r="D210" s="222" t="s">
        <v>1590</v>
      </c>
      <c r="E210" s="222"/>
      <c r="F210" s="223" t="s">
        <v>1509</v>
      </c>
      <c r="G210" s="224"/>
      <c r="J210" s="210">
        <f>COUNTA(D195:D201)</f>
        <v>7</v>
      </c>
    </row>
    <row r="211" spans="2:11" ht="16.5" x14ac:dyDescent="0.3">
      <c r="B211" s="225" t="s">
        <v>360</v>
      </c>
      <c r="C211" s="221">
        <v>11</v>
      </c>
      <c r="D211" s="222" t="s">
        <v>1591</v>
      </c>
      <c r="E211" s="222"/>
      <c r="F211" s="223" t="s">
        <v>1593</v>
      </c>
      <c r="G211" s="224"/>
    </row>
    <row r="212" spans="2:11" ht="17.25" thickBot="1" x14ac:dyDescent="0.35">
      <c r="B212" s="225" t="s">
        <v>1465</v>
      </c>
      <c r="C212" s="221">
        <v>1</v>
      </c>
      <c r="D212" s="222" t="s">
        <v>1592</v>
      </c>
      <c r="E212" s="222"/>
      <c r="F212" s="223" t="s">
        <v>1594</v>
      </c>
      <c r="G212" s="224"/>
      <c r="H212" s="400"/>
    </row>
    <row r="213" spans="2:11" ht="16.5" x14ac:dyDescent="0.3">
      <c r="B213" s="225" t="s">
        <v>361</v>
      </c>
      <c r="C213" s="221">
        <v>1</v>
      </c>
      <c r="D213" s="222" t="s">
        <v>1595</v>
      </c>
      <c r="E213" s="222"/>
      <c r="F213" s="223" t="s">
        <v>1509</v>
      </c>
      <c r="G213" s="224"/>
    </row>
    <row r="214" spans="2:11" ht="16.5" x14ac:dyDescent="0.3">
      <c r="B214" s="225" t="s">
        <v>1464</v>
      </c>
      <c r="C214" s="221">
        <v>1</v>
      </c>
      <c r="D214" s="222" t="s">
        <v>1596</v>
      </c>
      <c r="E214" s="222"/>
      <c r="F214" s="223" t="s">
        <v>1593</v>
      </c>
      <c r="G214" s="224"/>
    </row>
    <row r="215" spans="2:11" ht="16.5" x14ac:dyDescent="0.3">
      <c r="B215" s="225" t="s">
        <v>362</v>
      </c>
      <c r="C215" s="221">
        <v>1</v>
      </c>
      <c r="D215" s="222" t="s">
        <v>1597</v>
      </c>
      <c r="E215" s="222"/>
      <c r="F215" s="223" t="s">
        <v>1593</v>
      </c>
      <c r="G215" s="224"/>
    </row>
    <row r="216" spans="2:11" ht="16.5" x14ac:dyDescent="0.3">
      <c r="B216" s="225" t="s">
        <v>1463</v>
      </c>
      <c r="C216" s="221">
        <v>1</v>
      </c>
      <c r="D216" s="222" t="s">
        <v>1598</v>
      </c>
      <c r="E216" s="222"/>
      <c r="F216" s="223" t="s">
        <v>1548</v>
      </c>
      <c r="G216" s="224"/>
      <c r="I216" s="332" t="s">
        <v>1545</v>
      </c>
      <c r="J216" s="332"/>
      <c r="K216" s="332"/>
    </row>
    <row r="217" spans="2:11" ht="16.5" x14ac:dyDescent="0.3">
      <c r="B217" s="225" t="s">
        <v>1462</v>
      </c>
      <c r="C217" s="221">
        <v>1</v>
      </c>
      <c r="D217" s="222" t="s">
        <v>1599</v>
      </c>
      <c r="E217" s="222"/>
      <c r="F217" s="223" t="s">
        <v>1556</v>
      </c>
      <c r="G217" s="224"/>
      <c r="I217" s="332"/>
      <c r="J217" s="332"/>
      <c r="K217" s="332"/>
    </row>
    <row r="218" spans="2:11" ht="16.5" x14ac:dyDescent="0.3">
      <c r="B218" s="225" t="s">
        <v>1461</v>
      </c>
      <c r="C218" s="221">
        <v>1</v>
      </c>
      <c r="D218" s="222" t="s">
        <v>1600</v>
      </c>
      <c r="E218" s="222"/>
      <c r="F218" s="223" t="s">
        <v>1593</v>
      </c>
      <c r="G218" s="224"/>
      <c r="I218" s="332"/>
      <c r="J218" s="332"/>
      <c r="K218" s="332"/>
    </row>
    <row r="219" spans="2:11" ht="16.5" x14ac:dyDescent="0.3">
      <c r="B219" s="225" t="s">
        <v>1460</v>
      </c>
      <c r="C219" s="221">
        <v>1</v>
      </c>
      <c r="D219" s="222" t="s">
        <v>1601</v>
      </c>
      <c r="E219" s="222"/>
      <c r="F219" s="223" t="s">
        <v>1593</v>
      </c>
      <c r="G219" s="224"/>
      <c r="I219" s="332"/>
      <c r="J219" s="332"/>
      <c r="K219" s="332"/>
    </row>
    <row r="220" spans="2:11" ht="16.5" x14ac:dyDescent="0.3">
      <c r="B220" s="225" t="s">
        <v>1459</v>
      </c>
      <c r="C220" s="221">
        <v>1</v>
      </c>
      <c r="D220" s="222" t="s">
        <v>1602</v>
      </c>
      <c r="E220" s="222"/>
      <c r="F220" s="223" t="s">
        <v>1593</v>
      </c>
      <c r="G220" s="224"/>
      <c r="I220" s="332"/>
      <c r="J220" s="332"/>
      <c r="K220" s="332"/>
    </row>
    <row r="221" spans="2:11" ht="16.5" x14ac:dyDescent="0.3">
      <c r="B221" s="225" t="s">
        <v>1458</v>
      </c>
      <c r="C221" s="221">
        <v>1</v>
      </c>
      <c r="D221" s="222" t="s">
        <v>1603</v>
      </c>
      <c r="E221" s="222"/>
      <c r="F221" s="223" t="s">
        <v>1509</v>
      </c>
      <c r="G221" s="224"/>
      <c r="I221" s="332"/>
      <c r="J221" s="332"/>
      <c r="K221" s="332"/>
    </row>
    <row r="222" spans="2:11" ht="16.5" x14ac:dyDescent="0.3">
      <c r="B222" s="225" t="s">
        <v>1457</v>
      </c>
      <c r="C222" s="221">
        <v>1</v>
      </c>
      <c r="D222" s="222" t="s">
        <v>1604</v>
      </c>
      <c r="E222" s="222"/>
      <c r="F222" s="223" t="s">
        <v>1593</v>
      </c>
      <c r="G222" s="224"/>
      <c r="I222" s="332"/>
      <c r="J222" s="332"/>
      <c r="K222" s="332"/>
    </row>
    <row r="223" spans="2:11" ht="16.5" x14ac:dyDescent="0.3">
      <c r="B223" s="225" t="s">
        <v>1456</v>
      </c>
      <c r="C223" s="221">
        <v>1</v>
      </c>
      <c r="D223" s="222" t="s">
        <v>1605</v>
      </c>
      <c r="E223" s="222"/>
      <c r="F223" s="223" t="s">
        <v>1593</v>
      </c>
      <c r="G223" s="224"/>
      <c r="I223" s="332"/>
      <c r="J223" s="332"/>
      <c r="K223" s="332"/>
    </row>
    <row r="224" spans="2:11" ht="16.5" x14ac:dyDescent="0.3">
      <c r="B224" s="225" t="s">
        <v>1455</v>
      </c>
      <c r="C224" s="221">
        <v>1</v>
      </c>
      <c r="D224" s="222" t="s">
        <v>1571</v>
      </c>
      <c r="E224" s="222"/>
      <c r="F224" s="223" t="s">
        <v>1593</v>
      </c>
      <c r="G224" s="224"/>
      <c r="I224" s="332"/>
      <c r="J224" s="332"/>
      <c r="K224" s="332"/>
    </row>
    <row r="225" spans="1:13" ht="16.5" x14ac:dyDescent="0.3">
      <c r="B225" s="225" t="s">
        <v>1454</v>
      </c>
      <c r="C225" s="221">
        <v>1</v>
      </c>
      <c r="D225" s="222" t="s">
        <v>1607</v>
      </c>
      <c r="E225" s="222"/>
      <c r="F225" s="223" t="s">
        <v>1548</v>
      </c>
      <c r="G225" s="224"/>
      <c r="I225" s="332"/>
      <c r="J225" s="332"/>
      <c r="K225" s="332"/>
    </row>
    <row r="226" spans="1:13" ht="17.25" thickBot="1" x14ac:dyDescent="0.35">
      <c r="A226" s="400"/>
      <c r="B226" s="401" t="s">
        <v>1453</v>
      </c>
      <c r="C226" s="229">
        <v>1</v>
      </c>
      <c r="D226" s="230" t="s">
        <v>1608</v>
      </c>
      <c r="E226" s="230"/>
      <c r="F226" s="402" t="s">
        <v>1593</v>
      </c>
      <c r="G226" s="231"/>
      <c r="I226" s="332"/>
      <c r="J226" s="332"/>
      <c r="K226" s="332"/>
    </row>
    <row r="227" spans="1:13" ht="16.5" x14ac:dyDescent="0.3">
      <c r="B227" s="399" t="s">
        <v>1520</v>
      </c>
      <c r="C227" s="216">
        <v>2</v>
      </c>
      <c r="D227" s="217" t="s">
        <v>1564</v>
      </c>
      <c r="E227" s="217"/>
      <c r="F227" s="218" t="s">
        <v>1548</v>
      </c>
      <c r="G227" s="219"/>
      <c r="I227" s="332"/>
      <c r="J227" s="332"/>
      <c r="K227" s="332"/>
    </row>
    <row r="228" spans="1:13" ht="16.5" x14ac:dyDescent="0.3">
      <c r="B228" s="226" t="s">
        <v>1521</v>
      </c>
      <c r="C228" s="221">
        <v>2</v>
      </c>
      <c r="D228" s="222" t="s">
        <v>1566</v>
      </c>
      <c r="E228" s="222"/>
      <c r="F228" s="223" t="s">
        <v>1509</v>
      </c>
      <c r="G228" s="224"/>
      <c r="I228" s="332"/>
      <c r="J228" s="332"/>
      <c r="K228" s="332"/>
    </row>
    <row r="229" spans="1:13" ht="16.5" x14ac:dyDescent="0.3">
      <c r="B229" s="226" t="s">
        <v>433</v>
      </c>
      <c r="C229" s="221">
        <v>2</v>
      </c>
      <c r="D229" s="222" t="s">
        <v>1565</v>
      </c>
      <c r="E229" s="222"/>
      <c r="F229" s="223" t="s">
        <v>1593</v>
      </c>
      <c r="G229" s="224"/>
      <c r="I229" s="332"/>
      <c r="J229" s="332"/>
      <c r="K229" s="332"/>
    </row>
    <row r="230" spans="1:13" ht="16.5" x14ac:dyDescent="0.3">
      <c r="B230" s="226" t="s">
        <v>1522</v>
      </c>
      <c r="C230" s="221">
        <v>2</v>
      </c>
      <c r="D230" s="222" t="s">
        <v>1567</v>
      </c>
      <c r="E230" s="222"/>
      <c r="F230" s="223" t="s">
        <v>1509</v>
      </c>
      <c r="G230" s="224"/>
      <c r="I230" s="332"/>
      <c r="J230" s="332"/>
      <c r="K230" s="332"/>
      <c r="L230" s="191"/>
      <c r="M230" s="332"/>
    </row>
    <row r="231" spans="1:13" ht="16.5" x14ac:dyDescent="0.3">
      <c r="B231" s="226" t="s">
        <v>430</v>
      </c>
      <c r="C231" s="221">
        <v>3</v>
      </c>
      <c r="D231" s="222" t="s">
        <v>1568</v>
      </c>
      <c r="E231" s="222"/>
      <c r="F231" s="223" t="s">
        <v>1593</v>
      </c>
      <c r="G231" s="224"/>
      <c r="I231" s="332"/>
      <c r="J231" s="332"/>
      <c r="K231" s="332"/>
      <c r="L231" s="191"/>
      <c r="M231" s="332"/>
    </row>
    <row r="232" spans="1:13" ht="16.5" x14ac:dyDescent="0.3">
      <c r="B232" s="226" t="s">
        <v>493</v>
      </c>
      <c r="C232" s="221">
        <v>3</v>
      </c>
      <c r="D232" s="222" t="s">
        <v>1571</v>
      </c>
      <c r="E232" s="222"/>
      <c r="F232" s="223" t="s">
        <v>1509</v>
      </c>
      <c r="G232" s="224"/>
      <c r="I232" s="332"/>
      <c r="J232" s="332"/>
      <c r="K232" s="332"/>
      <c r="L232" s="191"/>
      <c r="M232" s="332"/>
    </row>
    <row r="233" spans="1:13" ht="16.5" x14ac:dyDescent="0.3">
      <c r="B233" s="226" t="s">
        <v>1523</v>
      </c>
      <c r="C233" s="221">
        <v>3</v>
      </c>
      <c r="D233" s="222" t="s">
        <v>1569</v>
      </c>
      <c r="E233" s="222"/>
      <c r="F233" s="223" t="s">
        <v>1556</v>
      </c>
      <c r="G233" s="224"/>
      <c r="I233" s="332"/>
      <c r="J233" s="332"/>
      <c r="K233" s="332"/>
      <c r="L233" s="332"/>
      <c r="M233" s="332"/>
    </row>
    <row r="234" spans="1:13" ht="16.5" x14ac:dyDescent="0.3">
      <c r="B234" s="226" t="s">
        <v>490</v>
      </c>
      <c r="C234" s="221"/>
      <c r="D234" s="222"/>
      <c r="E234" s="222"/>
      <c r="F234" s="223"/>
      <c r="G234" s="224"/>
      <c r="I234" s="332"/>
      <c r="J234" s="332"/>
      <c r="K234" s="332"/>
      <c r="L234" s="332"/>
      <c r="M234" s="332"/>
    </row>
    <row r="235" spans="1:13" ht="16.5" x14ac:dyDescent="0.3">
      <c r="B235" s="226" t="s">
        <v>1524</v>
      </c>
      <c r="C235" s="221">
        <v>11</v>
      </c>
      <c r="D235" s="222" t="s">
        <v>1588</v>
      </c>
      <c r="E235" s="222"/>
      <c r="F235" s="218" t="s">
        <v>1556</v>
      </c>
      <c r="G235" s="224"/>
      <c r="I235" s="332"/>
      <c r="J235" s="332"/>
      <c r="K235" s="332"/>
      <c r="L235" s="332"/>
      <c r="M235" s="332"/>
    </row>
    <row r="236" spans="1:13" ht="16.5" x14ac:dyDescent="0.3">
      <c r="B236" s="226" t="s">
        <v>487</v>
      </c>
      <c r="C236" s="221">
        <v>4</v>
      </c>
      <c r="D236" s="222" t="s">
        <v>1572</v>
      </c>
      <c r="E236" s="222"/>
      <c r="F236" s="223" t="s">
        <v>1548</v>
      </c>
      <c r="G236" s="224"/>
      <c r="I236" s="332"/>
      <c r="J236" s="332"/>
      <c r="K236" s="332"/>
      <c r="L236" s="332"/>
      <c r="M236" s="332"/>
    </row>
    <row r="237" spans="1:13" ht="16.5" x14ac:dyDescent="0.3">
      <c r="B237" s="226" t="s">
        <v>1525</v>
      </c>
      <c r="C237" s="221">
        <v>4</v>
      </c>
      <c r="D237" s="222" t="s">
        <v>1574</v>
      </c>
      <c r="E237" s="222"/>
      <c r="F237" s="223" t="s">
        <v>1509</v>
      </c>
      <c r="G237" s="224"/>
      <c r="H237" s="460"/>
      <c r="I237" s="332"/>
      <c r="J237" s="332"/>
      <c r="K237" s="332"/>
      <c r="L237" s="191"/>
      <c r="M237" s="332"/>
    </row>
    <row r="238" spans="1:13" ht="16.5" x14ac:dyDescent="0.3">
      <c r="B238" s="226" t="s">
        <v>442</v>
      </c>
      <c r="C238" s="221"/>
      <c r="D238" s="222"/>
      <c r="E238" s="222"/>
      <c r="F238" s="223"/>
      <c r="G238" s="224"/>
      <c r="I238" s="332"/>
      <c r="J238" s="332"/>
      <c r="K238" s="332"/>
      <c r="L238" s="332"/>
      <c r="M238" s="332"/>
    </row>
    <row r="239" spans="1:13" x14ac:dyDescent="0.3">
      <c r="B239" s="226" t="s">
        <v>1526</v>
      </c>
      <c r="C239" s="221">
        <v>7</v>
      </c>
      <c r="D239" s="222" t="s">
        <v>1575</v>
      </c>
      <c r="E239" s="222"/>
      <c r="F239" s="224" t="s">
        <v>1509</v>
      </c>
      <c r="G239" s="224"/>
      <c r="I239" s="332"/>
      <c r="J239" s="332"/>
      <c r="K239" s="332"/>
      <c r="L239" s="332"/>
      <c r="M239" s="332"/>
    </row>
    <row r="240" spans="1:13" ht="16.5" x14ac:dyDescent="0.3">
      <c r="B240" s="226" t="s">
        <v>439</v>
      </c>
      <c r="C240" s="221">
        <v>7</v>
      </c>
      <c r="D240" s="222" t="s">
        <v>1576</v>
      </c>
      <c r="E240" s="222"/>
      <c r="F240" s="223" t="s">
        <v>1509</v>
      </c>
      <c r="G240" s="224"/>
      <c r="I240" s="332"/>
      <c r="J240" s="332"/>
      <c r="K240" s="332"/>
      <c r="L240" s="191"/>
      <c r="M240" s="332"/>
    </row>
    <row r="241" spans="2:13" ht="16.5" x14ac:dyDescent="0.3">
      <c r="B241" s="226" t="s">
        <v>1527</v>
      </c>
      <c r="C241" s="221">
        <v>8</v>
      </c>
      <c r="D241" s="222" t="s">
        <v>1577</v>
      </c>
      <c r="E241" s="222"/>
      <c r="F241" s="223" t="s">
        <v>1509</v>
      </c>
      <c r="G241" s="224"/>
      <c r="I241" s="332"/>
      <c r="J241" s="332"/>
      <c r="K241" s="332"/>
      <c r="L241" s="332"/>
      <c r="M241" s="332"/>
    </row>
    <row r="242" spans="2:13" ht="16.5" x14ac:dyDescent="0.3">
      <c r="B242" s="226" t="s">
        <v>1528</v>
      </c>
      <c r="C242" s="221">
        <v>9</v>
      </c>
      <c r="D242" s="222" t="s">
        <v>1579</v>
      </c>
      <c r="E242" s="222"/>
      <c r="F242" s="223" t="s">
        <v>1548</v>
      </c>
      <c r="G242" s="224"/>
      <c r="I242" s="332"/>
      <c r="J242" s="332"/>
      <c r="K242" s="332"/>
      <c r="L242" s="332"/>
      <c r="M242" s="332"/>
    </row>
    <row r="243" spans="2:13" ht="16.5" x14ac:dyDescent="0.3">
      <c r="B243" s="226" t="s">
        <v>481</v>
      </c>
      <c r="C243" s="221">
        <v>9</v>
      </c>
      <c r="D243" s="222" t="s">
        <v>1578</v>
      </c>
      <c r="E243" s="222"/>
      <c r="F243" s="223" t="s">
        <v>1509</v>
      </c>
      <c r="G243" s="224"/>
      <c r="I243" s="332"/>
      <c r="J243" s="332"/>
      <c r="K243" s="332"/>
      <c r="L243" s="332"/>
      <c r="M243" s="332"/>
    </row>
    <row r="244" spans="2:13" ht="16.5" x14ac:dyDescent="0.3">
      <c r="B244" s="226" t="s">
        <v>1529</v>
      </c>
      <c r="C244" s="221">
        <v>9</v>
      </c>
      <c r="D244" s="222" t="s">
        <v>1580</v>
      </c>
      <c r="E244" s="222"/>
      <c r="F244" s="223" t="s">
        <v>1548</v>
      </c>
      <c r="G244" s="224"/>
      <c r="I244" s="332"/>
      <c r="J244" s="332"/>
      <c r="K244" s="332"/>
      <c r="L244" s="332"/>
      <c r="M244" s="332"/>
    </row>
    <row r="245" spans="2:13" ht="17.25" thickBot="1" x14ac:dyDescent="0.35">
      <c r="B245" s="226" t="s">
        <v>484</v>
      </c>
      <c r="C245" s="221">
        <v>1</v>
      </c>
      <c r="D245" s="222" t="s">
        <v>1546</v>
      </c>
      <c r="E245" s="222"/>
      <c r="F245" s="223" t="s">
        <v>1509</v>
      </c>
      <c r="G245" s="224"/>
      <c r="H245" s="400"/>
      <c r="I245" s="332"/>
      <c r="J245" s="332"/>
      <c r="K245" s="332"/>
      <c r="L245" s="332"/>
      <c r="M245" s="332"/>
    </row>
    <row r="246" spans="2:13" ht="16.5" x14ac:dyDescent="0.3">
      <c r="B246" s="226" t="s">
        <v>1530</v>
      </c>
      <c r="C246" s="221">
        <v>3</v>
      </c>
      <c r="D246" s="222" t="s">
        <v>1547</v>
      </c>
      <c r="E246" s="222"/>
      <c r="F246" s="223" t="s">
        <v>1548</v>
      </c>
      <c r="G246" s="224"/>
      <c r="I246" s="332"/>
      <c r="J246" s="332"/>
      <c r="K246" s="332"/>
      <c r="L246" s="332"/>
      <c r="M246" s="332"/>
    </row>
    <row r="247" spans="2:13" ht="16.5" x14ac:dyDescent="0.3">
      <c r="B247" s="226" t="s">
        <v>445</v>
      </c>
      <c r="C247" s="221">
        <v>3</v>
      </c>
      <c r="D247" s="222" t="s">
        <v>1549</v>
      </c>
      <c r="E247" s="222"/>
      <c r="F247" s="223" t="s">
        <v>1509</v>
      </c>
      <c r="G247" s="224"/>
      <c r="I247" s="332"/>
      <c r="J247" s="332"/>
      <c r="K247" s="332"/>
      <c r="L247" s="332"/>
      <c r="M247" s="332"/>
    </row>
    <row r="248" spans="2:13" ht="16.5" x14ac:dyDescent="0.3">
      <c r="B248" s="226" t="s">
        <v>1531</v>
      </c>
      <c r="C248" s="221">
        <v>4</v>
      </c>
      <c r="D248" s="222" t="s">
        <v>1550</v>
      </c>
      <c r="E248" s="222"/>
      <c r="F248" s="223" t="s">
        <v>1509</v>
      </c>
      <c r="G248" s="224"/>
      <c r="I248" s="332"/>
      <c r="J248" s="332"/>
      <c r="K248" s="332"/>
      <c r="L248" s="332"/>
      <c r="M248" s="332"/>
    </row>
    <row r="249" spans="2:13" ht="16.5" x14ac:dyDescent="0.3">
      <c r="B249" s="226" t="s">
        <v>448</v>
      </c>
      <c r="C249" s="221">
        <v>4</v>
      </c>
      <c r="D249" s="222" t="s">
        <v>1551</v>
      </c>
      <c r="E249" s="222"/>
      <c r="F249" s="223" t="s">
        <v>1509</v>
      </c>
      <c r="G249" s="224"/>
      <c r="I249" s="332"/>
      <c r="J249" s="332"/>
      <c r="K249" s="332"/>
      <c r="L249" s="332"/>
      <c r="M249" s="332"/>
    </row>
    <row r="250" spans="2:13" ht="16.5" x14ac:dyDescent="0.3">
      <c r="B250" s="226" t="s">
        <v>1532</v>
      </c>
      <c r="C250" s="221">
        <v>5</v>
      </c>
      <c r="D250" s="222" t="s">
        <v>1552</v>
      </c>
      <c r="E250" s="222"/>
      <c r="F250" s="223" t="s">
        <v>1548</v>
      </c>
      <c r="G250" s="224"/>
      <c r="I250" s="332"/>
      <c r="J250" s="332"/>
      <c r="K250" s="332"/>
      <c r="L250" s="332"/>
      <c r="M250" s="332"/>
    </row>
    <row r="251" spans="2:13" ht="16.5" x14ac:dyDescent="0.3">
      <c r="B251" s="226" t="s">
        <v>436</v>
      </c>
      <c r="C251" s="221">
        <v>5</v>
      </c>
      <c r="D251" s="222" t="s">
        <v>1553</v>
      </c>
      <c r="E251" s="222"/>
      <c r="F251" s="223" t="s">
        <v>1509</v>
      </c>
      <c r="G251" s="224"/>
      <c r="I251" s="332"/>
      <c r="J251" s="332"/>
      <c r="K251" s="332"/>
      <c r="L251" s="332"/>
      <c r="M251" s="332"/>
    </row>
    <row r="252" spans="2:13" ht="16.5" x14ac:dyDescent="0.3">
      <c r="B252" s="226" t="s">
        <v>475</v>
      </c>
      <c r="C252" s="221">
        <v>5</v>
      </c>
      <c r="D252" s="222" t="s">
        <v>1554</v>
      </c>
      <c r="E252" s="222"/>
      <c r="F252" s="223" t="s">
        <v>1509</v>
      </c>
      <c r="G252" s="224"/>
      <c r="I252" s="332"/>
      <c r="J252" s="332"/>
      <c r="K252" s="332"/>
      <c r="L252" s="332"/>
      <c r="M252" s="332"/>
    </row>
    <row r="253" spans="2:13" ht="16.5" x14ac:dyDescent="0.3">
      <c r="B253" s="226" t="s">
        <v>1533</v>
      </c>
      <c r="C253" s="221">
        <v>6</v>
      </c>
      <c r="D253" s="222" t="s">
        <v>1555</v>
      </c>
      <c r="E253" s="222"/>
      <c r="F253" s="223" t="s">
        <v>1548</v>
      </c>
      <c r="G253" s="224"/>
      <c r="L253" s="332"/>
      <c r="M253" s="332"/>
    </row>
    <row r="254" spans="2:13" ht="16.5" x14ac:dyDescent="0.3">
      <c r="B254" s="226" t="s">
        <v>472</v>
      </c>
      <c r="C254" s="221">
        <v>6</v>
      </c>
      <c r="D254" s="222" t="s">
        <v>1557</v>
      </c>
      <c r="E254" s="222"/>
      <c r="F254" s="223" t="s">
        <v>1509</v>
      </c>
      <c r="G254" s="224"/>
      <c r="L254" s="332"/>
      <c r="M254" s="332"/>
    </row>
    <row r="255" spans="2:13" ht="16.5" x14ac:dyDescent="0.3">
      <c r="B255" s="226" t="s">
        <v>1534</v>
      </c>
      <c r="C255" s="221">
        <v>6</v>
      </c>
      <c r="D255" s="222" t="s">
        <v>1558</v>
      </c>
      <c r="E255" s="222"/>
      <c r="F255" s="223" t="s">
        <v>1509</v>
      </c>
      <c r="G255" s="224"/>
      <c r="L255" s="332"/>
      <c r="M255" s="332"/>
    </row>
    <row r="256" spans="2:13" ht="16.5" x14ac:dyDescent="0.3">
      <c r="B256" s="226" t="s">
        <v>469</v>
      </c>
      <c r="C256" s="221">
        <v>8</v>
      </c>
      <c r="D256" s="222" t="s">
        <v>1559</v>
      </c>
      <c r="E256" s="222"/>
      <c r="F256" s="223" t="s">
        <v>1509</v>
      </c>
      <c r="G256" s="224"/>
      <c r="L256" s="332"/>
      <c r="M256" s="332"/>
    </row>
    <row r="257" spans="1:13" ht="16.5" x14ac:dyDescent="0.3">
      <c r="B257" s="226" t="s">
        <v>1535</v>
      </c>
      <c r="C257" s="221">
        <v>9</v>
      </c>
      <c r="D257" s="222" t="s">
        <v>1560</v>
      </c>
      <c r="E257" s="222"/>
      <c r="F257" s="223" t="s">
        <v>1509</v>
      </c>
      <c r="G257" s="224"/>
      <c r="L257" s="332"/>
      <c r="M257" s="332"/>
    </row>
    <row r="258" spans="1:13" ht="16.5" x14ac:dyDescent="0.3">
      <c r="B258" s="226" t="s">
        <v>462</v>
      </c>
      <c r="C258" s="221">
        <v>9</v>
      </c>
      <c r="D258" s="222" t="s">
        <v>1561</v>
      </c>
      <c r="E258" s="222"/>
      <c r="F258" s="223" t="s">
        <v>1509</v>
      </c>
      <c r="G258" s="224"/>
      <c r="L258" s="332"/>
      <c r="M258" s="332"/>
    </row>
    <row r="259" spans="1:13" ht="16.5" x14ac:dyDescent="0.3">
      <c r="B259" s="226" t="s">
        <v>1536</v>
      </c>
      <c r="C259" s="221">
        <v>10</v>
      </c>
      <c r="D259" s="222" t="s">
        <v>1562</v>
      </c>
      <c r="E259" s="222"/>
      <c r="F259" s="223" t="s">
        <v>1509</v>
      </c>
      <c r="G259" s="224"/>
      <c r="L259" s="191"/>
      <c r="M259" s="332"/>
    </row>
    <row r="260" spans="1:13" ht="17.25" thickBot="1" x14ac:dyDescent="0.35">
      <c r="A260" s="400"/>
      <c r="B260" s="404" t="s">
        <v>459</v>
      </c>
      <c r="C260" s="221">
        <v>11</v>
      </c>
      <c r="D260" s="222" t="s">
        <v>1563</v>
      </c>
      <c r="E260" s="222"/>
      <c r="F260" s="223" t="s">
        <v>1548</v>
      </c>
      <c r="G260" s="231"/>
      <c r="L260" s="332"/>
      <c r="M260" s="332"/>
    </row>
    <row r="261" spans="1:13" ht="16.5" x14ac:dyDescent="0.3">
      <c r="B261" s="403" t="s">
        <v>1537</v>
      </c>
      <c r="C261" s="221">
        <v>12</v>
      </c>
      <c r="D261" s="222" t="s">
        <v>1765</v>
      </c>
      <c r="E261" s="222"/>
      <c r="F261" s="223" t="s">
        <v>1509</v>
      </c>
      <c r="G261" s="219"/>
      <c r="L261" s="191"/>
      <c r="M261" s="332"/>
    </row>
    <row r="262" spans="1:13" ht="16.5" x14ac:dyDescent="0.3">
      <c r="B262" s="227" t="s">
        <v>1538</v>
      </c>
      <c r="C262" s="216"/>
      <c r="D262" s="217"/>
      <c r="E262" s="217"/>
      <c r="F262" s="218"/>
      <c r="G262" s="224"/>
      <c r="L262" s="332"/>
      <c r="M262" s="332"/>
    </row>
    <row r="263" spans="1:13" ht="16.5" x14ac:dyDescent="0.3">
      <c r="B263" s="227" t="s">
        <v>133</v>
      </c>
      <c r="C263" s="221">
        <v>12</v>
      </c>
      <c r="D263" s="222" t="s">
        <v>1769</v>
      </c>
      <c r="E263" s="222"/>
      <c r="F263" s="223" t="s">
        <v>1593</v>
      </c>
      <c r="G263" s="224"/>
      <c r="L263" s="332"/>
      <c r="M263" s="332"/>
    </row>
    <row r="264" spans="1:13" ht="16.5" x14ac:dyDescent="0.3">
      <c r="B264" s="227" t="s">
        <v>132</v>
      </c>
      <c r="C264" s="221">
        <v>11</v>
      </c>
      <c r="D264" s="222" t="s">
        <v>1756</v>
      </c>
      <c r="E264" s="222"/>
      <c r="F264" s="223" t="s">
        <v>1593</v>
      </c>
      <c r="G264" s="224"/>
      <c r="L264" s="191"/>
      <c r="M264" s="332"/>
    </row>
    <row r="265" spans="1:13" ht="16.5" x14ac:dyDescent="0.3">
      <c r="B265" s="227" t="s">
        <v>131</v>
      </c>
      <c r="C265" s="221">
        <v>12</v>
      </c>
      <c r="D265" s="222" t="s">
        <v>1768</v>
      </c>
      <c r="E265" s="222"/>
      <c r="F265" s="223" t="s">
        <v>1593</v>
      </c>
      <c r="G265" s="224"/>
      <c r="L265" s="191"/>
      <c r="M265" s="332"/>
    </row>
    <row r="266" spans="1:13" ht="16.5" x14ac:dyDescent="0.3">
      <c r="B266" s="227" t="s">
        <v>130</v>
      </c>
      <c r="C266" s="221">
        <v>11</v>
      </c>
      <c r="D266" s="222" t="s">
        <v>1755</v>
      </c>
      <c r="E266" s="222"/>
      <c r="F266" s="223" t="s">
        <v>1593</v>
      </c>
      <c r="G266" s="224"/>
      <c r="L266" s="332"/>
      <c r="M266" s="332"/>
    </row>
    <row r="267" spans="1:13" ht="16.5" x14ac:dyDescent="0.3">
      <c r="B267" s="227" t="s">
        <v>129</v>
      </c>
      <c r="C267" s="221">
        <v>12</v>
      </c>
      <c r="D267" s="222" t="s">
        <v>1767</v>
      </c>
      <c r="E267" s="222"/>
      <c r="F267" s="223" t="s">
        <v>1593</v>
      </c>
      <c r="G267" s="224"/>
      <c r="L267" s="191"/>
      <c r="M267" s="332"/>
    </row>
    <row r="268" spans="1:13" ht="16.5" x14ac:dyDescent="0.3">
      <c r="B268" s="227" t="s">
        <v>128</v>
      </c>
      <c r="C268" s="221">
        <v>11</v>
      </c>
      <c r="D268" s="222" t="s">
        <v>1754</v>
      </c>
      <c r="E268" s="222"/>
      <c r="F268" s="223" t="s">
        <v>1593</v>
      </c>
      <c r="G268" s="224"/>
    </row>
    <row r="269" spans="1:13" ht="16.5" x14ac:dyDescent="0.3">
      <c r="B269" s="227" t="s">
        <v>127</v>
      </c>
      <c r="C269" s="221">
        <v>4</v>
      </c>
      <c r="D269" s="222" t="s">
        <v>1573</v>
      </c>
      <c r="E269" s="222"/>
      <c r="F269" s="223" t="s">
        <v>1509</v>
      </c>
      <c r="G269" s="224"/>
    </row>
    <row r="270" spans="1:13" ht="16.5" x14ac:dyDescent="0.3">
      <c r="B270" s="227" t="s">
        <v>126</v>
      </c>
      <c r="C270" s="221">
        <v>12</v>
      </c>
      <c r="D270" s="222" t="s">
        <v>1766</v>
      </c>
      <c r="E270" s="222"/>
      <c r="F270" s="218" t="s">
        <v>1593</v>
      </c>
      <c r="G270" s="224"/>
    </row>
    <row r="271" spans="1:13" ht="16.5" x14ac:dyDescent="0.3">
      <c r="B271" s="227" t="s">
        <v>125</v>
      </c>
      <c r="C271" s="221">
        <v>11</v>
      </c>
      <c r="D271" s="222" t="s">
        <v>1753</v>
      </c>
      <c r="E271" s="222"/>
      <c r="F271" s="223" t="s">
        <v>1593</v>
      </c>
      <c r="G271" s="224"/>
    </row>
    <row r="272" spans="1:13" ht="16.5" x14ac:dyDescent="0.3">
      <c r="B272" s="227" t="s">
        <v>124</v>
      </c>
      <c r="C272" s="221">
        <v>11</v>
      </c>
      <c r="D272" s="222" t="s">
        <v>1752</v>
      </c>
      <c r="E272" s="222"/>
      <c r="F272" s="223" t="s">
        <v>1593</v>
      </c>
      <c r="G272" s="224"/>
    </row>
    <row r="273" spans="2:7" ht="16.5" x14ac:dyDescent="0.3">
      <c r="B273" s="227" t="s">
        <v>123</v>
      </c>
      <c r="C273" s="221">
        <v>12</v>
      </c>
      <c r="D273" s="222" t="s">
        <v>1764</v>
      </c>
      <c r="E273" s="222"/>
      <c r="F273" s="223" t="s">
        <v>1509</v>
      </c>
      <c r="G273" s="224"/>
    </row>
    <row r="274" spans="2:7" ht="16.5" x14ac:dyDescent="0.3">
      <c r="B274" s="227" t="s">
        <v>122</v>
      </c>
      <c r="C274" s="221">
        <v>11</v>
      </c>
      <c r="D274" s="222" t="s">
        <v>1751</v>
      </c>
      <c r="E274" s="222"/>
      <c r="F274" s="223" t="s">
        <v>1593</v>
      </c>
      <c r="G274" s="224"/>
    </row>
    <row r="275" spans="2:7" ht="16.5" x14ac:dyDescent="0.3">
      <c r="B275" s="227" t="s">
        <v>121</v>
      </c>
      <c r="C275" s="221">
        <v>12</v>
      </c>
      <c r="D275" s="222" t="s">
        <v>1763</v>
      </c>
      <c r="E275" s="222"/>
      <c r="F275" s="223" t="s">
        <v>1509</v>
      </c>
      <c r="G275" s="224"/>
    </row>
    <row r="276" spans="2:7" ht="16.5" x14ac:dyDescent="0.3">
      <c r="B276" s="227" t="s">
        <v>120</v>
      </c>
      <c r="C276" s="221">
        <v>11</v>
      </c>
      <c r="D276" s="222" t="s">
        <v>1750</v>
      </c>
      <c r="E276" s="222"/>
      <c r="F276" s="218" t="s">
        <v>1593</v>
      </c>
      <c r="G276" s="224"/>
    </row>
    <row r="277" spans="2:7" ht="16.5" x14ac:dyDescent="0.3">
      <c r="B277" s="227" t="s">
        <v>119</v>
      </c>
      <c r="C277" s="221">
        <v>12</v>
      </c>
      <c r="D277" s="222" t="s">
        <v>1762</v>
      </c>
      <c r="E277" s="222"/>
      <c r="F277" s="223" t="s">
        <v>1509</v>
      </c>
      <c r="G277" s="224"/>
    </row>
    <row r="278" spans="2:7" ht="16.5" x14ac:dyDescent="0.3">
      <c r="B278" s="227" t="s">
        <v>118</v>
      </c>
      <c r="C278" s="221">
        <v>11</v>
      </c>
      <c r="D278" s="222" t="s">
        <v>1749</v>
      </c>
      <c r="E278" s="222"/>
      <c r="F278" s="223" t="s">
        <v>1593</v>
      </c>
      <c r="G278" s="224"/>
    </row>
    <row r="279" spans="2:7" ht="16.5" x14ac:dyDescent="0.3">
      <c r="B279" s="227" t="s">
        <v>117</v>
      </c>
      <c r="C279" s="221">
        <v>12</v>
      </c>
      <c r="D279" s="222" t="s">
        <v>1761</v>
      </c>
      <c r="E279" s="222"/>
      <c r="F279" s="223" t="s">
        <v>1548</v>
      </c>
      <c r="G279" s="224"/>
    </row>
    <row r="280" spans="2:7" ht="16.5" x14ac:dyDescent="0.3">
      <c r="B280" s="227" t="s">
        <v>116</v>
      </c>
      <c r="C280" s="221">
        <v>11</v>
      </c>
      <c r="D280" s="222" t="s">
        <v>1748</v>
      </c>
      <c r="E280" s="222"/>
      <c r="F280" s="223" t="s">
        <v>1593</v>
      </c>
      <c r="G280" s="224"/>
    </row>
    <row r="281" spans="2:7" ht="16.5" x14ac:dyDescent="0.3">
      <c r="B281" s="227" t="s">
        <v>115</v>
      </c>
      <c r="C281" s="221">
        <v>12</v>
      </c>
      <c r="D281" s="222" t="s">
        <v>1760</v>
      </c>
      <c r="E281" s="222"/>
      <c r="F281" s="223" t="s">
        <v>1548</v>
      </c>
      <c r="G281" s="224"/>
    </row>
    <row r="282" spans="2:7" ht="16.5" x14ac:dyDescent="0.3">
      <c r="B282" s="227" t="s">
        <v>114</v>
      </c>
      <c r="C282" s="221">
        <v>11</v>
      </c>
      <c r="D282" s="222" t="s">
        <v>1747</v>
      </c>
      <c r="E282" s="222"/>
      <c r="F282" s="223" t="s">
        <v>1593</v>
      </c>
      <c r="G282" s="224"/>
    </row>
    <row r="283" spans="2:7" ht="16.5" x14ac:dyDescent="0.3">
      <c r="B283" s="227" t="s">
        <v>113</v>
      </c>
      <c r="C283" s="221">
        <v>12</v>
      </c>
      <c r="D283" s="222" t="s">
        <v>1759</v>
      </c>
      <c r="E283" s="222"/>
      <c r="F283" s="218" t="s">
        <v>1593</v>
      </c>
      <c r="G283" s="224"/>
    </row>
    <row r="284" spans="2:7" ht="16.5" x14ac:dyDescent="0.3">
      <c r="B284" s="227" t="s">
        <v>112</v>
      </c>
      <c r="C284" s="221">
        <v>11</v>
      </c>
      <c r="D284" s="222" t="s">
        <v>1639</v>
      </c>
      <c r="E284" s="222"/>
      <c r="F284" s="223" t="s">
        <v>1548</v>
      </c>
      <c r="G284" s="224"/>
    </row>
    <row r="285" spans="2:7" ht="16.5" x14ac:dyDescent="0.3">
      <c r="B285" s="227" t="s">
        <v>111</v>
      </c>
      <c r="C285" s="221">
        <v>12</v>
      </c>
      <c r="D285" s="222" t="s">
        <v>1681</v>
      </c>
      <c r="E285" s="222"/>
      <c r="F285" s="223" t="s">
        <v>1509</v>
      </c>
      <c r="G285" s="224"/>
    </row>
    <row r="286" spans="2:7" ht="16.5" x14ac:dyDescent="0.3">
      <c r="B286" s="227" t="s">
        <v>110</v>
      </c>
      <c r="C286" s="221">
        <v>11</v>
      </c>
      <c r="D286" s="222" t="s">
        <v>1746</v>
      </c>
      <c r="E286" s="222"/>
      <c r="F286" s="223" t="s">
        <v>1593</v>
      </c>
      <c r="G286" s="224"/>
    </row>
    <row r="287" spans="2:7" ht="16.5" x14ac:dyDescent="0.3">
      <c r="B287" s="227" t="s">
        <v>109</v>
      </c>
      <c r="C287" s="221">
        <v>12</v>
      </c>
      <c r="D287" s="222" t="s">
        <v>1758</v>
      </c>
      <c r="E287" s="222"/>
      <c r="F287" s="218" t="s">
        <v>1548</v>
      </c>
      <c r="G287" s="224"/>
    </row>
    <row r="288" spans="2:7" ht="16.5" x14ac:dyDescent="0.3">
      <c r="B288" s="227" t="s">
        <v>108</v>
      </c>
      <c r="C288" s="221">
        <v>10</v>
      </c>
      <c r="D288" s="222" t="s">
        <v>1738</v>
      </c>
      <c r="E288" s="222"/>
      <c r="F288" s="223" t="s">
        <v>1593</v>
      </c>
      <c r="G288" s="224"/>
    </row>
    <row r="289" spans="2:9" ht="16.5" x14ac:dyDescent="0.3">
      <c r="B289" s="227" t="s">
        <v>107</v>
      </c>
      <c r="C289" s="221">
        <v>12</v>
      </c>
      <c r="D289" s="222" t="s">
        <v>1757</v>
      </c>
      <c r="E289" s="222"/>
      <c r="F289" s="223" t="s">
        <v>1593</v>
      </c>
      <c r="G289" s="224"/>
    </row>
    <row r="290" spans="2:9" ht="16.5" x14ac:dyDescent="0.3">
      <c r="B290" s="227" t="s">
        <v>106</v>
      </c>
      <c r="C290" s="221">
        <v>10</v>
      </c>
      <c r="D290" s="222" t="s">
        <v>1737</v>
      </c>
      <c r="E290" s="222"/>
      <c r="F290" s="223" t="s">
        <v>1593</v>
      </c>
      <c r="G290" s="224"/>
    </row>
    <row r="291" spans="2:9" ht="16.5" x14ac:dyDescent="0.3">
      <c r="B291" s="227" t="s">
        <v>105</v>
      </c>
      <c r="C291" s="221">
        <v>11</v>
      </c>
      <c r="D291" s="222" t="s">
        <v>1745</v>
      </c>
      <c r="E291" s="222"/>
      <c r="F291" s="223" t="s">
        <v>1509</v>
      </c>
      <c r="G291" s="224"/>
    </row>
    <row r="292" spans="2:9" ht="16.5" x14ac:dyDescent="0.3">
      <c r="B292" s="227" t="s">
        <v>104</v>
      </c>
      <c r="C292" s="221">
        <v>10</v>
      </c>
      <c r="D292" s="222" t="s">
        <v>1736</v>
      </c>
      <c r="E292" s="222"/>
      <c r="F292" s="223" t="s">
        <v>1593</v>
      </c>
      <c r="G292" s="224"/>
    </row>
    <row r="293" spans="2:9" ht="16.5" x14ac:dyDescent="0.3">
      <c r="B293" s="227" t="s">
        <v>103</v>
      </c>
      <c r="C293" s="221">
        <v>11</v>
      </c>
      <c r="D293" s="222" t="s">
        <v>1744</v>
      </c>
      <c r="E293" s="222"/>
      <c r="F293" s="218" t="s">
        <v>1509</v>
      </c>
      <c r="G293" s="224"/>
    </row>
    <row r="294" spans="2:9" ht="16.5" x14ac:dyDescent="0.3">
      <c r="B294" s="227" t="s">
        <v>102</v>
      </c>
      <c r="C294" s="221">
        <v>10</v>
      </c>
      <c r="D294" s="222" t="s">
        <v>1735</v>
      </c>
      <c r="E294" s="222"/>
      <c r="F294" s="218" t="s">
        <v>1593</v>
      </c>
      <c r="G294" s="224"/>
    </row>
    <row r="295" spans="2:9" ht="16.5" x14ac:dyDescent="0.3">
      <c r="B295" s="227" t="s">
        <v>101</v>
      </c>
      <c r="C295" s="221">
        <v>11</v>
      </c>
      <c r="D295" s="222" t="s">
        <v>1743</v>
      </c>
      <c r="E295" s="222"/>
      <c r="F295" s="218" t="s">
        <v>1509</v>
      </c>
      <c r="G295" s="224"/>
    </row>
    <row r="296" spans="2:9" ht="16.5" x14ac:dyDescent="0.3">
      <c r="B296" s="227" t="s">
        <v>100</v>
      </c>
      <c r="C296" s="221">
        <v>10</v>
      </c>
      <c r="D296" s="222" t="s">
        <v>1734</v>
      </c>
      <c r="E296" s="222"/>
      <c r="F296" s="218" t="s">
        <v>1593</v>
      </c>
      <c r="G296" s="224"/>
    </row>
    <row r="297" spans="2:9" ht="16.5" x14ac:dyDescent="0.3">
      <c r="B297" s="227" t="s">
        <v>99</v>
      </c>
      <c r="C297" s="221">
        <v>11</v>
      </c>
      <c r="D297" s="222" t="s">
        <v>1742</v>
      </c>
      <c r="E297" s="222"/>
      <c r="F297" s="218" t="s">
        <v>1593</v>
      </c>
      <c r="G297" s="224"/>
    </row>
    <row r="298" spans="2:9" ht="16.5" x14ac:dyDescent="0.3">
      <c r="B298" s="227" t="s">
        <v>98</v>
      </c>
      <c r="C298" s="221">
        <v>10</v>
      </c>
      <c r="D298" s="222" t="s">
        <v>1733</v>
      </c>
      <c r="E298" s="222"/>
      <c r="F298" s="218" t="s">
        <v>1593</v>
      </c>
      <c r="G298" s="224"/>
    </row>
    <row r="299" spans="2:9" ht="16.5" x14ac:dyDescent="0.3">
      <c r="B299" s="227" t="s">
        <v>97</v>
      </c>
      <c r="C299" s="221">
        <v>11</v>
      </c>
      <c r="D299" s="222" t="s">
        <v>1741</v>
      </c>
      <c r="E299" s="222"/>
      <c r="F299" s="218" t="s">
        <v>1548</v>
      </c>
      <c r="G299" s="224"/>
    </row>
    <row r="300" spans="2:9" ht="16.5" x14ac:dyDescent="0.3">
      <c r="B300" s="227" t="s">
        <v>96</v>
      </c>
      <c r="C300" s="221">
        <v>10</v>
      </c>
      <c r="D300" s="222" t="s">
        <v>1732</v>
      </c>
      <c r="E300" s="222"/>
      <c r="F300" s="218" t="s">
        <v>1593</v>
      </c>
      <c r="G300" s="224"/>
    </row>
    <row r="301" spans="2:9" ht="16.5" x14ac:dyDescent="0.3">
      <c r="B301" s="227" t="s">
        <v>95</v>
      </c>
      <c r="C301" s="221">
        <v>11</v>
      </c>
      <c r="D301" s="222" t="s">
        <v>1740</v>
      </c>
      <c r="E301" s="222"/>
      <c r="F301" s="218" t="s">
        <v>1509</v>
      </c>
      <c r="G301" s="224"/>
    </row>
    <row r="302" spans="2:9" ht="16.5" x14ac:dyDescent="0.3">
      <c r="B302" s="227" t="s">
        <v>94</v>
      </c>
      <c r="C302" s="221">
        <v>10</v>
      </c>
      <c r="D302" s="222" t="s">
        <v>1731</v>
      </c>
      <c r="E302" s="222"/>
      <c r="F302" s="218" t="s">
        <v>1593</v>
      </c>
      <c r="G302" s="224"/>
    </row>
    <row r="303" spans="2:9" ht="16.5" x14ac:dyDescent="0.3">
      <c r="B303" s="227" t="s">
        <v>93</v>
      </c>
      <c r="C303" s="221">
        <v>11</v>
      </c>
      <c r="D303" s="222" t="s">
        <v>1720</v>
      </c>
      <c r="E303" s="222"/>
      <c r="F303" s="218" t="s">
        <v>1509</v>
      </c>
      <c r="G303" s="224"/>
    </row>
    <row r="304" spans="2:9" ht="16.5" x14ac:dyDescent="0.3">
      <c r="B304" s="227" t="s">
        <v>92</v>
      </c>
      <c r="C304" s="221">
        <v>10</v>
      </c>
      <c r="D304" s="222" t="s">
        <v>1730</v>
      </c>
      <c r="E304" s="222"/>
      <c r="F304" s="218" t="s">
        <v>1593</v>
      </c>
      <c r="G304" s="224"/>
      <c r="I304" s="222"/>
    </row>
    <row r="305" spans="2:8" ht="16.5" x14ac:dyDescent="0.3">
      <c r="B305" s="227" t="s">
        <v>91</v>
      </c>
      <c r="C305" s="221">
        <v>11</v>
      </c>
      <c r="D305" s="222" t="s">
        <v>1739</v>
      </c>
      <c r="E305" s="222"/>
      <c r="F305" s="223" t="s">
        <v>1509</v>
      </c>
      <c r="G305" s="224"/>
    </row>
    <row r="306" spans="2:8" ht="16.5" x14ac:dyDescent="0.3">
      <c r="B306" s="227" t="s">
        <v>90</v>
      </c>
      <c r="C306" s="221">
        <v>10</v>
      </c>
      <c r="D306" s="222" t="s">
        <v>1639</v>
      </c>
      <c r="E306" s="222"/>
      <c r="F306" s="223" t="s">
        <v>1593</v>
      </c>
      <c r="G306" s="224"/>
    </row>
    <row r="307" spans="2:8" ht="16.5" x14ac:dyDescent="0.3">
      <c r="B307" s="227" t="s">
        <v>89</v>
      </c>
      <c r="C307" s="221">
        <v>9</v>
      </c>
      <c r="D307" s="222" t="s">
        <v>1719</v>
      </c>
      <c r="E307" s="222"/>
      <c r="F307" s="223" t="s">
        <v>1548</v>
      </c>
      <c r="G307" s="224"/>
    </row>
    <row r="308" spans="2:8" ht="16.5" x14ac:dyDescent="0.3">
      <c r="B308" s="227" t="s">
        <v>88</v>
      </c>
      <c r="C308" s="221">
        <v>10</v>
      </c>
      <c r="D308" s="222" t="s">
        <v>1729</v>
      </c>
      <c r="E308" s="222"/>
      <c r="F308" s="223" t="s">
        <v>1509</v>
      </c>
      <c r="G308" s="224"/>
    </row>
    <row r="309" spans="2:8" ht="16.5" x14ac:dyDescent="0.3">
      <c r="B309" s="227" t="s">
        <v>87</v>
      </c>
      <c r="C309" s="221">
        <v>9</v>
      </c>
      <c r="D309" s="222" t="s">
        <v>1718</v>
      </c>
      <c r="E309" s="222"/>
      <c r="F309" s="218" t="s">
        <v>1593</v>
      </c>
      <c r="G309" s="224"/>
    </row>
    <row r="310" spans="2:8" ht="16.5" x14ac:dyDescent="0.3">
      <c r="B310" s="227" t="s">
        <v>86</v>
      </c>
      <c r="C310" s="221">
        <v>10</v>
      </c>
      <c r="D310" s="222" t="s">
        <v>1728</v>
      </c>
      <c r="E310" s="222"/>
      <c r="F310" s="223" t="s">
        <v>1509</v>
      </c>
      <c r="G310" s="224"/>
    </row>
    <row r="311" spans="2:8" ht="16.5" x14ac:dyDescent="0.3">
      <c r="B311" s="227" t="s">
        <v>85</v>
      </c>
      <c r="C311" s="221">
        <v>9</v>
      </c>
      <c r="D311" s="222" t="s">
        <v>1717</v>
      </c>
      <c r="E311" s="222"/>
      <c r="F311" s="223" t="s">
        <v>1593</v>
      </c>
      <c r="G311" s="224"/>
      <c r="H311" s="221"/>
    </row>
    <row r="312" spans="2:8" ht="16.5" x14ac:dyDescent="0.3">
      <c r="B312" s="227" t="s">
        <v>84</v>
      </c>
      <c r="C312" s="221">
        <v>10</v>
      </c>
      <c r="D312" s="222" t="s">
        <v>1727</v>
      </c>
      <c r="E312" s="222"/>
      <c r="F312" s="223" t="s">
        <v>1509</v>
      </c>
      <c r="G312" s="224"/>
    </row>
    <row r="313" spans="2:8" ht="16.5" x14ac:dyDescent="0.3">
      <c r="B313" s="227" t="s">
        <v>83</v>
      </c>
      <c r="C313" s="221">
        <v>9</v>
      </c>
      <c r="D313" s="222" t="s">
        <v>1716</v>
      </c>
      <c r="E313" s="222"/>
      <c r="F313" s="223" t="s">
        <v>1593</v>
      </c>
      <c r="G313" s="224"/>
    </row>
    <row r="314" spans="2:8" ht="16.5" x14ac:dyDescent="0.3">
      <c r="B314" s="227" t="s">
        <v>82</v>
      </c>
      <c r="C314" s="221">
        <v>10</v>
      </c>
      <c r="D314" s="222" t="s">
        <v>1726</v>
      </c>
      <c r="E314" s="222"/>
      <c r="F314" s="223" t="s">
        <v>1509</v>
      </c>
      <c r="G314" s="224"/>
    </row>
    <row r="315" spans="2:8" ht="16.5" x14ac:dyDescent="0.3">
      <c r="B315" s="227" t="s">
        <v>81</v>
      </c>
      <c r="C315" s="221">
        <v>9</v>
      </c>
      <c r="D315" s="222" t="s">
        <v>1715</v>
      </c>
      <c r="E315" s="222"/>
      <c r="F315" s="223" t="s">
        <v>1593</v>
      </c>
      <c r="G315" s="224"/>
    </row>
    <row r="316" spans="2:8" ht="16.5" x14ac:dyDescent="0.3">
      <c r="B316" s="227" t="s">
        <v>80</v>
      </c>
      <c r="C316" s="221">
        <v>10</v>
      </c>
      <c r="D316" s="222" t="s">
        <v>1725</v>
      </c>
      <c r="E316" s="222"/>
      <c r="F316" s="218" t="s">
        <v>1509</v>
      </c>
      <c r="G316" s="224"/>
    </row>
    <row r="317" spans="2:8" ht="16.5" x14ac:dyDescent="0.3">
      <c r="B317" s="227" t="s">
        <v>79</v>
      </c>
      <c r="C317" s="221">
        <v>9</v>
      </c>
      <c r="D317" s="222" t="s">
        <v>1714</v>
      </c>
      <c r="E317" s="222"/>
      <c r="F317" s="218" t="s">
        <v>1548</v>
      </c>
      <c r="G317" s="224"/>
    </row>
    <row r="318" spans="2:8" ht="16.5" x14ac:dyDescent="0.3">
      <c r="B318" s="227" t="s">
        <v>78</v>
      </c>
      <c r="C318" s="221">
        <v>10</v>
      </c>
      <c r="D318" s="222" t="s">
        <v>1724</v>
      </c>
      <c r="E318" s="222"/>
      <c r="F318" s="223" t="s">
        <v>1509</v>
      </c>
      <c r="G318" s="224"/>
    </row>
    <row r="319" spans="2:8" ht="16.5" x14ac:dyDescent="0.3">
      <c r="B319" s="227" t="s">
        <v>77</v>
      </c>
      <c r="C319" s="221">
        <v>9</v>
      </c>
      <c r="D319" s="222" t="s">
        <v>1713</v>
      </c>
      <c r="E319" s="222"/>
      <c r="F319" s="218" t="s">
        <v>1593</v>
      </c>
      <c r="G319" s="224"/>
    </row>
    <row r="320" spans="2:8" ht="16.5" x14ac:dyDescent="0.3">
      <c r="B320" s="227" t="s">
        <v>76</v>
      </c>
      <c r="C320" s="221">
        <v>10</v>
      </c>
      <c r="D320" s="222" t="s">
        <v>1723</v>
      </c>
      <c r="E320" s="222"/>
      <c r="F320" s="223" t="s">
        <v>1509</v>
      </c>
      <c r="G320" s="224"/>
    </row>
    <row r="321" spans="1:7" ht="16.5" x14ac:dyDescent="0.3">
      <c r="B321" s="227" t="s">
        <v>75</v>
      </c>
      <c r="C321" s="221">
        <v>9</v>
      </c>
      <c r="D321" s="222" t="s">
        <v>1712</v>
      </c>
      <c r="E321" s="222"/>
      <c r="F321" s="223" t="s">
        <v>1593</v>
      </c>
      <c r="G321" s="224"/>
    </row>
    <row r="322" spans="1:7" ht="16.5" x14ac:dyDescent="0.3">
      <c r="B322" s="227" t="s">
        <v>74</v>
      </c>
      <c r="C322" s="221">
        <v>10</v>
      </c>
      <c r="D322" s="222" t="s">
        <v>1722</v>
      </c>
      <c r="E322" s="222"/>
      <c r="F322" s="223" t="s">
        <v>1509</v>
      </c>
      <c r="G322" s="224"/>
    </row>
    <row r="323" spans="1:7" ht="16.5" x14ac:dyDescent="0.3">
      <c r="B323" s="227" t="s">
        <v>73</v>
      </c>
      <c r="C323" s="221">
        <v>9</v>
      </c>
      <c r="D323" s="222" t="s">
        <v>1711</v>
      </c>
      <c r="E323" s="222"/>
      <c r="F323" s="223" t="s">
        <v>1593</v>
      </c>
      <c r="G323" s="224"/>
    </row>
    <row r="324" spans="1:7" ht="16.5" x14ac:dyDescent="0.3">
      <c r="B324" s="227" t="s">
        <v>72</v>
      </c>
      <c r="C324" s="221">
        <v>10</v>
      </c>
      <c r="D324" s="222" t="s">
        <v>1721</v>
      </c>
      <c r="E324" s="222"/>
      <c r="F324" s="223" t="s">
        <v>1509</v>
      </c>
      <c r="G324" s="224"/>
    </row>
    <row r="325" spans="1:7" ht="16.5" x14ac:dyDescent="0.3">
      <c r="B325" s="227" t="s">
        <v>71</v>
      </c>
      <c r="C325" s="221">
        <v>9</v>
      </c>
      <c r="D325" s="222" t="s">
        <v>1710</v>
      </c>
      <c r="E325" s="222"/>
      <c r="F325" s="223" t="s">
        <v>1593</v>
      </c>
      <c r="G325" s="224"/>
    </row>
    <row r="326" spans="1:7" ht="16.5" x14ac:dyDescent="0.3">
      <c r="A326" s="409"/>
      <c r="B326" s="227" t="s">
        <v>70</v>
      </c>
      <c r="C326" s="221">
        <v>10</v>
      </c>
      <c r="D326" s="222" t="s">
        <v>1720</v>
      </c>
      <c r="E326" s="222"/>
      <c r="F326" s="223" t="s">
        <v>1593</v>
      </c>
      <c r="G326" s="224"/>
    </row>
    <row r="327" spans="1:7" ht="16.5" x14ac:dyDescent="0.3">
      <c r="B327" s="227" t="s">
        <v>69</v>
      </c>
      <c r="C327" s="221">
        <v>9</v>
      </c>
      <c r="D327" s="222" t="s">
        <v>1639</v>
      </c>
      <c r="E327" s="222"/>
      <c r="F327" s="223" t="s">
        <v>1593</v>
      </c>
      <c r="G327" s="224"/>
    </row>
    <row r="328" spans="1:7" ht="16.5" x14ac:dyDescent="0.3">
      <c r="B328" s="227" t="s">
        <v>68</v>
      </c>
      <c r="C328" s="221">
        <v>10</v>
      </c>
      <c r="D328" s="222" t="s">
        <v>1895</v>
      </c>
      <c r="E328" s="222"/>
      <c r="F328" s="218" t="s">
        <v>1509</v>
      </c>
      <c r="G328" s="224"/>
    </row>
    <row r="329" spans="1:7" ht="16.5" x14ac:dyDescent="0.3">
      <c r="B329" s="227" t="s">
        <v>67</v>
      </c>
      <c r="C329" s="221">
        <v>9</v>
      </c>
      <c r="D329" s="222" t="s">
        <v>1709</v>
      </c>
      <c r="E329" s="222"/>
      <c r="F329" s="218" t="s">
        <v>1593</v>
      </c>
      <c r="G329" s="224"/>
    </row>
    <row r="330" spans="1:7" ht="16.5" x14ac:dyDescent="0.3">
      <c r="B330" s="227" t="s">
        <v>66</v>
      </c>
      <c r="C330" s="221">
        <v>9</v>
      </c>
      <c r="D330" s="222" t="s">
        <v>1708</v>
      </c>
      <c r="E330" s="222"/>
      <c r="F330" s="223" t="s">
        <v>1593</v>
      </c>
      <c r="G330" s="224"/>
    </row>
    <row r="331" spans="1:7" ht="16.5" x14ac:dyDescent="0.3">
      <c r="B331" s="227" t="s">
        <v>65</v>
      </c>
      <c r="C331" s="221">
        <v>8</v>
      </c>
      <c r="D331" s="222" t="s">
        <v>1704</v>
      </c>
      <c r="E331" s="222"/>
      <c r="F331" s="223" t="s">
        <v>1593</v>
      </c>
      <c r="G331" s="224"/>
    </row>
    <row r="332" spans="1:7" ht="16.5" x14ac:dyDescent="0.3">
      <c r="B332" s="227" t="s">
        <v>64</v>
      </c>
      <c r="C332" s="221">
        <v>9</v>
      </c>
      <c r="D332" s="222" t="s">
        <v>1707</v>
      </c>
      <c r="E332" s="222"/>
      <c r="F332" s="218" t="s">
        <v>1548</v>
      </c>
      <c r="G332" s="224"/>
    </row>
    <row r="333" spans="1:7" ht="16.5" x14ac:dyDescent="0.3">
      <c r="B333" s="227" t="s">
        <v>63</v>
      </c>
      <c r="C333" s="221">
        <v>8</v>
      </c>
      <c r="D333" s="222" t="s">
        <v>1703</v>
      </c>
      <c r="E333" s="222"/>
      <c r="F333" s="223" t="s">
        <v>1593</v>
      </c>
      <c r="G333" s="224"/>
    </row>
    <row r="334" spans="1:7" ht="16.5" x14ac:dyDescent="0.3">
      <c r="B334" s="227" t="s">
        <v>62</v>
      </c>
      <c r="C334" s="221">
        <v>9</v>
      </c>
      <c r="D334" s="222" t="s">
        <v>1639</v>
      </c>
      <c r="E334" s="222"/>
      <c r="F334" s="223" t="s">
        <v>1509</v>
      </c>
      <c r="G334" s="224"/>
    </row>
    <row r="335" spans="1:7" ht="16.5" x14ac:dyDescent="0.3">
      <c r="B335" s="227" t="s">
        <v>61</v>
      </c>
      <c r="C335" s="221">
        <v>8</v>
      </c>
      <c r="D335" s="222" t="s">
        <v>1702</v>
      </c>
      <c r="E335" s="222"/>
      <c r="F335" s="218" t="s">
        <v>1593</v>
      </c>
      <c r="G335" s="224"/>
    </row>
    <row r="336" spans="1:7" ht="16.5" x14ac:dyDescent="0.3">
      <c r="B336" s="227" t="s">
        <v>60</v>
      </c>
      <c r="C336" s="221">
        <v>9</v>
      </c>
      <c r="D336" s="222" t="s">
        <v>1706</v>
      </c>
      <c r="E336" s="222"/>
      <c r="F336" s="218" t="s">
        <v>1509</v>
      </c>
      <c r="G336" s="224"/>
    </row>
    <row r="337" spans="2:10" ht="16.5" x14ac:dyDescent="0.3">
      <c r="B337" s="227" t="s">
        <v>59</v>
      </c>
      <c r="C337" s="221">
        <v>8</v>
      </c>
      <c r="D337" s="222" t="s">
        <v>1653</v>
      </c>
      <c r="E337" s="222"/>
      <c r="F337" s="218" t="s">
        <v>1593</v>
      </c>
      <c r="G337" s="224"/>
    </row>
    <row r="338" spans="2:10" ht="16.5" x14ac:dyDescent="0.3">
      <c r="B338" s="227" t="s">
        <v>58</v>
      </c>
      <c r="C338" s="221">
        <v>9</v>
      </c>
      <c r="D338" s="222" t="s">
        <v>1705</v>
      </c>
      <c r="E338" s="222"/>
      <c r="F338" s="223" t="s">
        <v>1509</v>
      </c>
      <c r="G338" s="224"/>
    </row>
    <row r="339" spans="2:10" ht="16.5" x14ac:dyDescent="0.3">
      <c r="B339" s="227" t="s">
        <v>57</v>
      </c>
      <c r="C339" s="221">
        <v>8</v>
      </c>
      <c r="D339" s="222" t="s">
        <v>1695</v>
      </c>
      <c r="E339" s="222"/>
      <c r="F339" s="223" t="s">
        <v>1593</v>
      </c>
      <c r="G339" s="224"/>
    </row>
    <row r="340" spans="2:10" ht="16.5" x14ac:dyDescent="0.3">
      <c r="B340" s="227" t="s">
        <v>56</v>
      </c>
      <c r="C340" s="221">
        <v>8</v>
      </c>
      <c r="D340" s="222" t="s">
        <v>1701</v>
      </c>
      <c r="E340" s="222"/>
      <c r="F340" s="223" t="s">
        <v>1548</v>
      </c>
      <c r="G340" s="224"/>
    </row>
    <row r="341" spans="2:10" ht="16.5" x14ac:dyDescent="0.3">
      <c r="B341" s="227" t="s">
        <v>55</v>
      </c>
      <c r="C341" s="221">
        <v>7</v>
      </c>
      <c r="D341" s="222" t="s">
        <v>1694</v>
      </c>
      <c r="E341" s="222"/>
      <c r="F341" s="218" t="s">
        <v>1593</v>
      </c>
      <c r="G341" s="224"/>
    </row>
    <row r="342" spans="2:10" ht="16.5" x14ac:dyDescent="0.3">
      <c r="B342" s="227" t="s">
        <v>54</v>
      </c>
      <c r="C342" s="221">
        <v>8</v>
      </c>
      <c r="D342" s="222" t="s">
        <v>1700</v>
      </c>
      <c r="E342" s="222"/>
      <c r="F342" s="223" t="s">
        <v>1509</v>
      </c>
      <c r="G342" s="224"/>
    </row>
    <row r="343" spans="2:10" ht="16.5" x14ac:dyDescent="0.3">
      <c r="B343" s="227" t="s">
        <v>53</v>
      </c>
      <c r="C343" s="221">
        <v>7</v>
      </c>
      <c r="D343" s="222" t="s">
        <v>1693</v>
      </c>
      <c r="E343" s="222"/>
      <c r="F343" s="223" t="s">
        <v>1593</v>
      </c>
      <c r="G343" s="224"/>
    </row>
    <row r="344" spans="2:10" ht="16.5" x14ac:dyDescent="0.3">
      <c r="B344" s="227" t="s">
        <v>52</v>
      </c>
      <c r="C344" s="221">
        <v>8</v>
      </c>
      <c r="D344" s="222" t="s">
        <v>1699</v>
      </c>
      <c r="E344" s="222"/>
      <c r="F344" s="223" t="s">
        <v>1509</v>
      </c>
      <c r="G344" s="224"/>
    </row>
    <row r="345" spans="2:10" ht="16.5" x14ac:dyDescent="0.3">
      <c r="B345" s="227" t="s">
        <v>51</v>
      </c>
      <c r="C345" s="221">
        <v>7</v>
      </c>
      <c r="D345" s="222" t="s">
        <v>1653</v>
      </c>
      <c r="E345" s="222"/>
      <c r="F345" s="223" t="s">
        <v>1820</v>
      </c>
      <c r="G345" s="224"/>
      <c r="I345" s="332"/>
      <c r="J345" s="332"/>
    </row>
    <row r="346" spans="2:10" ht="16.5" x14ac:dyDescent="0.3">
      <c r="B346" s="227" t="s">
        <v>50</v>
      </c>
      <c r="C346" s="221">
        <v>8</v>
      </c>
      <c r="D346" s="222" t="s">
        <v>1698</v>
      </c>
      <c r="E346" s="222"/>
      <c r="F346" s="223" t="s">
        <v>1593</v>
      </c>
      <c r="G346" s="224"/>
      <c r="I346" s="332"/>
      <c r="J346" s="332"/>
    </row>
    <row r="347" spans="2:10" ht="16.5" x14ac:dyDescent="0.3">
      <c r="B347" s="227" t="s">
        <v>49</v>
      </c>
      <c r="C347" s="221">
        <v>7</v>
      </c>
      <c r="D347" s="222" t="s">
        <v>1692</v>
      </c>
      <c r="E347" s="222"/>
      <c r="F347" s="223" t="s">
        <v>1593</v>
      </c>
      <c r="G347" s="224"/>
      <c r="I347" s="332"/>
      <c r="J347" s="332"/>
    </row>
    <row r="348" spans="2:10" ht="16.5" x14ac:dyDescent="0.3">
      <c r="B348" s="227" t="s">
        <v>48</v>
      </c>
      <c r="C348" s="221">
        <v>8</v>
      </c>
      <c r="D348" s="222" t="s">
        <v>1697</v>
      </c>
      <c r="E348" s="222"/>
      <c r="F348" s="223" t="s">
        <v>1509</v>
      </c>
      <c r="G348" s="224"/>
      <c r="I348" s="332"/>
      <c r="J348" s="332"/>
    </row>
    <row r="349" spans="2:10" ht="16.5" x14ac:dyDescent="0.3">
      <c r="B349" s="227" t="s">
        <v>47</v>
      </c>
      <c r="C349" s="221">
        <v>7</v>
      </c>
      <c r="D349" s="222" t="s">
        <v>1691</v>
      </c>
      <c r="E349" s="222"/>
      <c r="F349" s="223" t="s">
        <v>1593</v>
      </c>
      <c r="G349" s="224"/>
      <c r="I349" s="332"/>
      <c r="J349" s="332"/>
    </row>
    <row r="350" spans="2:10" ht="16.5" x14ac:dyDescent="0.3">
      <c r="B350" s="227" t="s">
        <v>46</v>
      </c>
      <c r="C350" s="221">
        <v>8</v>
      </c>
      <c r="D350" s="222" t="s">
        <v>1696</v>
      </c>
      <c r="E350" s="222"/>
      <c r="F350" s="223" t="s">
        <v>1509</v>
      </c>
      <c r="G350" s="224"/>
      <c r="I350" s="332"/>
      <c r="J350" s="332"/>
    </row>
    <row r="351" spans="2:10" ht="16.5" x14ac:dyDescent="0.3">
      <c r="B351" s="227" t="s">
        <v>45</v>
      </c>
      <c r="C351" s="221">
        <v>7</v>
      </c>
      <c r="D351" s="222" t="s">
        <v>1592</v>
      </c>
      <c r="E351" s="222"/>
      <c r="F351" s="223" t="s">
        <v>1593</v>
      </c>
      <c r="G351" s="224"/>
      <c r="I351" s="332"/>
      <c r="J351" s="332"/>
    </row>
    <row r="352" spans="2:10" ht="16.5" x14ac:dyDescent="0.3">
      <c r="B352" s="227" t="s">
        <v>44</v>
      </c>
      <c r="C352" s="221">
        <v>7</v>
      </c>
      <c r="D352" s="222" t="s">
        <v>1689</v>
      </c>
      <c r="E352" s="222"/>
      <c r="F352" s="223" t="s">
        <v>1509</v>
      </c>
      <c r="G352" s="224"/>
      <c r="I352" s="332"/>
      <c r="J352" s="332"/>
    </row>
    <row r="353" spans="2:10" ht="16.5" x14ac:dyDescent="0.3">
      <c r="B353" s="227" t="s">
        <v>43</v>
      </c>
      <c r="C353" s="221">
        <v>7</v>
      </c>
      <c r="D353" s="222" t="s">
        <v>1690</v>
      </c>
      <c r="E353" s="222"/>
      <c r="F353" s="223" t="s">
        <v>1593</v>
      </c>
      <c r="G353" s="224"/>
      <c r="I353" s="332"/>
      <c r="J353" s="332"/>
    </row>
    <row r="354" spans="2:10" ht="16.5" x14ac:dyDescent="0.3">
      <c r="B354" s="227" t="s">
        <v>42</v>
      </c>
      <c r="C354" s="221">
        <v>7</v>
      </c>
      <c r="D354" s="222" t="s">
        <v>1688</v>
      </c>
      <c r="E354" s="222"/>
      <c r="F354" s="218" t="s">
        <v>1548</v>
      </c>
      <c r="G354" s="224"/>
      <c r="I354" s="332"/>
      <c r="J354" s="332"/>
    </row>
    <row r="355" spans="2:10" ht="16.5" x14ac:dyDescent="0.3">
      <c r="B355" s="227" t="s">
        <v>41</v>
      </c>
      <c r="C355" s="221">
        <v>6</v>
      </c>
      <c r="D355" s="222" t="s">
        <v>1687</v>
      </c>
      <c r="E355" s="222"/>
      <c r="F355" s="223" t="s">
        <v>1593</v>
      </c>
      <c r="G355" s="224"/>
      <c r="I355" s="332"/>
      <c r="J355" s="332"/>
    </row>
    <row r="356" spans="2:10" ht="16.5" x14ac:dyDescent="0.3">
      <c r="B356" s="227" t="s">
        <v>40</v>
      </c>
      <c r="C356" s="221">
        <v>6</v>
      </c>
      <c r="D356" s="222" t="s">
        <v>1678</v>
      </c>
      <c r="E356" s="222"/>
      <c r="F356" s="218" t="s">
        <v>1548</v>
      </c>
      <c r="G356" s="224"/>
    </row>
    <row r="357" spans="2:10" ht="16.5" x14ac:dyDescent="0.3">
      <c r="B357" s="227" t="s">
        <v>39</v>
      </c>
      <c r="C357" s="221">
        <v>6</v>
      </c>
      <c r="D357" s="222" t="s">
        <v>1686</v>
      </c>
      <c r="E357" s="222"/>
      <c r="F357" s="218" t="s">
        <v>1593</v>
      </c>
      <c r="G357" s="224"/>
    </row>
    <row r="358" spans="2:10" ht="16.5" x14ac:dyDescent="0.3">
      <c r="B358" s="227" t="s">
        <v>38</v>
      </c>
      <c r="C358" s="221">
        <v>5</v>
      </c>
      <c r="D358" s="222" t="s">
        <v>1677</v>
      </c>
      <c r="E358" s="222"/>
      <c r="F358" s="218" t="s">
        <v>1548</v>
      </c>
      <c r="G358" s="224"/>
    </row>
    <row r="359" spans="2:10" ht="16.5" x14ac:dyDescent="0.3">
      <c r="B359" s="227" t="s">
        <v>37</v>
      </c>
      <c r="C359" s="221">
        <v>6</v>
      </c>
      <c r="D359" s="222" t="s">
        <v>1685</v>
      </c>
      <c r="E359" s="222"/>
      <c r="F359" s="218" t="s">
        <v>1593</v>
      </c>
      <c r="G359" s="224"/>
    </row>
    <row r="360" spans="2:10" ht="16.5" x14ac:dyDescent="0.3">
      <c r="B360" s="227" t="s">
        <v>36</v>
      </c>
      <c r="C360" s="221">
        <v>5</v>
      </c>
      <c r="D360" s="222" t="s">
        <v>1676</v>
      </c>
      <c r="E360" s="222"/>
      <c r="F360" s="218" t="s">
        <v>1593</v>
      </c>
      <c r="G360" s="224"/>
    </row>
    <row r="361" spans="2:10" ht="16.5" x14ac:dyDescent="0.3">
      <c r="B361" s="227" t="s">
        <v>35</v>
      </c>
      <c r="C361" s="221">
        <v>6</v>
      </c>
      <c r="D361" s="222" t="s">
        <v>1684</v>
      </c>
      <c r="E361" s="222"/>
      <c r="F361" s="218" t="s">
        <v>1593</v>
      </c>
      <c r="G361" s="224"/>
    </row>
    <row r="362" spans="2:10" ht="16.5" x14ac:dyDescent="0.3">
      <c r="B362" s="227" t="s">
        <v>34</v>
      </c>
      <c r="C362" s="221">
        <v>5</v>
      </c>
      <c r="D362" s="222" t="s">
        <v>1675</v>
      </c>
      <c r="E362" s="222"/>
      <c r="F362" s="218" t="s">
        <v>1548</v>
      </c>
      <c r="G362" s="224"/>
    </row>
    <row r="363" spans="2:10" ht="16.5" x14ac:dyDescent="0.3">
      <c r="B363" s="227" t="s">
        <v>33</v>
      </c>
      <c r="C363" s="221">
        <v>6</v>
      </c>
      <c r="D363" s="222" t="s">
        <v>1683</v>
      </c>
      <c r="E363" s="222"/>
      <c r="F363" s="218" t="s">
        <v>1593</v>
      </c>
      <c r="G363" s="224"/>
    </row>
    <row r="364" spans="2:10" ht="16.5" x14ac:dyDescent="0.3">
      <c r="B364" s="227" t="s">
        <v>32</v>
      </c>
      <c r="C364" s="221">
        <v>5</v>
      </c>
      <c r="D364" s="222" t="s">
        <v>1674</v>
      </c>
      <c r="E364" s="222"/>
      <c r="F364" s="218" t="s">
        <v>1593</v>
      </c>
      <c r="G364" s="224"/>
    </row>
    <row r="365" spans="2:10" ht="16.5" x14ac:dyDescent="0.3">
      <c r="B365" s="227" t="s">
        <v>31</v>
      </c>
      <c r="C365" s="221">
        <v>6</v>
      </c>
      <c r="D365" s="222" t="s">
        <v>1660</v>
      </c>
      <c r="E365" s="222"/>
      <c r="F365" s="218" t="s">
        <v>1548</v>
      </c>
      <c r="G365" s="224"/>
    </row>
    <row r="366" spans="2:10" ht="16.5" x14ac:dyDescent="0.3">
      <c r="B366" s="227" t="s">
        <v>30</v>
      </c>
      <c r="C366" s="221">
        <v>5</v>
      </c>
      <c r="D366" s="222" t="s">
        <v>1673</v>
      </c>
      <c r="E366" s="222"/>
      <c r="F366" s="218" t="s">
        <v>1509</v>
      </c>
      <c r="G366" s="224"/>
    </row>
    <row r="367" spans="2:10" ht="16.5" x14ac:dyDescent="0.3">
      <c r="B367" s="227" t="s">
        <v>29</v>
      </c>
      <c r="C367" s="221">
        <v>6</v>
      </c>
      <c r="D367" s="222" t="s">
        <v>1682</v>
      </c>
      <c r="E367" s="222"/>
      <c r="F367" s="218" t="s">
        <v>1593</v>
      </c>
      <c r="G367" s="224"/>
    </row>
    <row r="368" spans="2:10" ht="16.5" x14ac:dyDescent="0.3">
      <c r="B368" s="227" t="s">
        <v>28</v>
      </c>
      <c r="C368" s="221">
        <v>5</v>
      </c>
      <c r="D368" s="222" t="s">
        <v>1672</v>
      </c>
      <c r="E368" s="222"/>
      <c r="F368" s="218" t="s">
        <v>1509</v>
      </c>
      <c r="G368" s="224"/>
    </row>
    <row r="369" spans="2:7" ht="16.5" x14ac:dyDescent="0.3">
      <c r="B369" s="227" t="s">
        <v>27</v>
      </c>
      <c r="C369" s="221">
        <v>6</v>
      </c>
      <c r="D369" s="222" t="s">
        <v>1681</v>
      </c>
      <c r="E369" s="222"/>
      <c r="F369" s="218" t="s">
        <v>1593</v>
      </c>
      <c r="G369" s="224"/>
    </row>
    <row r="370" spans="2:7" ht="16.5" x14ac:dyDescent="0.3">
      <c r="B370" s="227" t="s">
        <v>26</v>
      </c>
      <c r="C370" s="221">
        <v>4</v>
      </c>
      <c r="D370" s="222" t="s">
        <v>1667</v>
      </c>
      <c r="E370" s="222"/>
      <c r="F370" s="218" t="s">
        <v>1509</v>
      </c>
      <c r="G370" s="224"/>
    </row>
    <row r="371" spans="2:7" ht="16.5" x14ac:dyDescent="0.3">
      <c r="B371" s="227" t="s">
        <v>25</v>
      </c>
      <c r="C371" s="221">
        <v>6</v>
      </c>
      <c r="D371" s="222" t="s">
        <v>1680</v>
      </c>
      <c r="E371" s="222"/>
      <c r="F371" s="218" t="s">
        <v>1593</v>
      </c>
      <c r="G371" s="224"/>
    </row>
    <row r="372" spans="2:7" ht="16.5" x14ac:dyDescent="0.3">
      <c r="B372" s="227" t="s">
        <v>24</v>
      </c>
      <c r="C372" s="221">
        <v>4</v>
      </c>
      <c r="D372" s="222" t="s">
        <v>1666</v>
      </c>
      <c r="E372" s="222"/>
      <c r="F372" s="218" t="s">
        <v>1548</v>
      </c>
      <c r="G372" s="224"/>
    </row>
    <row r="373" spans="2:7" ht="16.5" x14ac:dyDescent="0.3">
      <c r="B373" s="227" t="s">
        <v>23</v>
      </c>
      <c r="C373" s="221">
        <v>5</v>
      </c>
      <c r="D373" s="222" t="s">
        <v>1671</v>
      </c>
      <c r="E373" s="222"/>
      <c r="F373" s="218" t="s">
        <v>1594</v>
      </c>
      <c r="G373" s="224"/>
    </row>
    <row r="374" spans="2:7" ht="16.5" x14ac:dyDescent="0.3">
      <c r="B374" s="227" t="s">
        <v>22</v>
      </c>
      <c r="C374" s="221">
        <v>4</v>
      </c>
      <c r="D374" s="222" t="s">
        <v>1665</v>
      </c>
      <c r="E374" s="222"/>
      <c r="F374" s="218" t="s">
        <v>1593</v>
      </c>
      <c r="G374" s="224"/>
    </row>
    <row r="375" spans="2:7" ht="16.5" x14ac:dyDescent="0.3">
      <c r="B375" s="227" t="s">
        <v>21</v>
      </c>
      <c r="C375" s="221">
        <v>5</v>
      </c>
      <c r="D375" s="222" t="s">
        <v>1670</v>
      </c>
      <c r="E375" s="222"/>
      <c r="F375" s="218" t="s">
        <v>1593</v>
      </c>
      <c r="G375" s="224"/>
    </row>
    <row r="376" spans="2:7" ht="16.5" x14ac:dyDescent="0.3">
      <c r="B376" s="227" t="s">
        <v>20</v>
      </c>
      <c r="C376" s="221">
        <v>4</v>
      </c>
      <c r="D376" s="222" t="s">
        <v>1664</v>
      </c>
      <c r="E376" s="222"/>
      <c r="F376" s="218" t="s">
        <v>1509</v>
      </c>
      <c r="G376" s="224"/>
    </row>
    <row r="377" spans="2:7" ht="16.5" x14ac:dyDescent="0.3">
      <c r="B377" s="227" t="s">
        <v>19</v>
      </c>
      <c r="C377" s="221">
        <v>5</v>
      </c>
      <c r="D377" s="222" t="s">
        <v>1669</v>
      </c>
      <c r="E377" s="222"/>
      <c r="F377" s="218" t="s">
        <v>1593</v>
      </c>
      <c r="G377" s="224"/>
    </row>
    <row r="378" spans="2:7" ht="16.5" x14ac:dyDescent="0.3">
      <c r="B378" s="227" t="s">
        <v>18</v>
      </c>
      <c r="C378" s="221">
        <v>4</v>
      </c>
      <c r="D378" s="222" t="s">
        <v>1579</v>
      </c>
      <c r="E378" s="222"/>
      <c r="F378" s="218" t="s">
        <v>1509</v>
      </c>
      <c r="G378" s="224"/>
    </row>
    <row r="379" spans="2:7" ht="17.25" thickBot="1" x14ac:dyDescent="0.35">
      <c r="B379" s="227" t="s">
        <v>17</v>
      </c>
      <c r="C379" s="229">
        <v>5</v>
      </c>
      <c r="D379" s="230" t="s">
        <v>1668</v>
      </c>
      <c r="E379" s="230"/>
      <c r="F379" s="218" t="s">
        <v>1593</v>
      </c>
      <c r="G379" s="224"/>
    </row>
    <row r="380" spans="2:7" ht="16.5" x14ac:dyDescent="0.3">
      <c r="B380" s="227" t="s">
        <v>16</v>
      </c>
      <c r="C380" s="221">
        <v>4</v>
      </c>
      <c r="D380" s="222" t="s">
        <v>1663</v>
      </c>
      <c r="E380" s="222"/>
      <c r="F380" s="218" t="s">
        <v>1593</v>
      </c>
      <c r="G380" s="224"/>
    </row>
    <row r="381" spans="2:7" ht="17.25" thickBot="1" x14ac:dyDescent="0.35">
      <c r="B381" s="227" t="s">
        <v>15</v>
      </c>
      <c r="C381" s="229">
        <v>6</v>
      </c>
      <c r="D381" s="230" t="s">
        <v>1679</v>
      </c>
      <c r="E381" s="230"/>
      <c r="F381" s="218" t="s">
        <v>1593</v>
      </c>
      <c r="G381" s="224"/>
    </row>
    <row r="382" spans="2:7" ht="17.25" thickBot="1" x14ac:dyDescent="0.35">
      <c r="B382" s="228" t="s">
        <v>14</v>
      </c>
      <c r="C382" s="229">
        <v>4</v>
      </c>
      <c r="D382" s="230" t="s">
        <v>1662</v>
      </c>
      <c r="E382" s="230"/>
      <c r="F382" s="218" t="s">
        <v>1593</v>
      </c>
      <c r="G382" s="231"/>
    </row>
    <row r="383" spans="2:7" ht="16.5" x14ac:dyDescent="0.3">
      <c r="B383" s="232"/>
      <c r="C383" s="233"/>
      <c r="D383" s="234"/>
      <c r="E383" s="217"/>
      <c r="F383" s="218"/>
    </row>
    <row r="384" spans="2:7" ht="16.5" x14ac:dyDescent="0.3">
      <c r="B384" s="235"/>
      <c r="C384" s="236"/>
      <c r="D384" s="237"/>
      <c r="E384" s="222"/>
      <c r="F384" s="223"/>
    </row>
    <row r="385" spans="2:6" ht="16.5" x14ac:dyDescent="0.3">
      <c r="B385" s="235"/>
      <c r="C385" s="236"/>
      <c r="D385" s="237"/>
      <c r="E385" s="222"/>
      <c r="F385" s="223"/>
    </row>
    <row r="386" spans="2:6" ht="16.5" x14ac:dyDescent="0.3">
      <c r="B386" s="235"/>
      <c r="C386" s="236"/>
      <c r="D386" s="237"/>
      <c r="E386" s="222"/>
      <c r="F386" s="223"/>
    </row>
    <row r="387" spans="2:6" ht="16.5" x14ac:dyDescent="0.3">
      <c r="B387" s="235"/>
      <c r="C387" s="238"/>
      <c r="D387" s="239"/>
      <c r="E387" s="222"/>
      <c r="F387" s="223"/>
    </row>
    <row r="388" spans="2:6" x14ac:dyDescent="0.3">
      <c r="E388" s="222"/>
    </row>
  </sheetData>
  <autoFilter ref="B2:G382" xr:uid="{00000000-0009-0000-0000-000004000000}"/>
  <phoneticPr fontId="27" type="noConversion"/>
  <conditionalFormatting sqref="D387:D65407">
    <cfRule type="duplicateValues" dxfId="965" priority="2254"/>
  </conditionalFormatting>
  <conditionalFormatting sqref="D387:D1048576">
    <cfRule type="duplicateValues" dxfId="964" priority="2253"/>
  </conditionalFormatting>
  <conditionalFormatting sqref="D387:D1048576">
    <cfRule type="duplicateValues" dxfId="963" priority="2252"/>
  </conditionalFormatting>
  <conditionalFormatting sqref="D2">
    <cfRule type="duplicateValues" dxfId="962" priority="2250"/>
  </conditionalFormatting>
  <conditionalFormatting sqref="D2">
    <cfRule type="duplicateValues" dxfId="961" priority="2249"/>
  </conditionalFormatting>
  <conditionalFormatting sqref="D2">
    <cfRule type="duplicateValues" dxfId="960" priority="2248"/>
  </conditionalFormatting>
  <conditionalFormatting sqref="D2">
    <cfRule type="duplicateValues" dxfId="959" priority="2251"/>
  </conditionalFormatting>
  <conditionalFormatting sqref="D387:D1048576 D1:D2">
    <cfRule type="duplicateValues" dxfId="958" priority="2246"/>
  </conditionalFormatting>
  <conditionalFormatting sqref="D196 D186">
    <cfRule type="duplicateValues" dxfId="957" priority="2241"/>
  </conditionalFormatting>
  <conditionalFormatting sqref="D196 D186">
    <cfRule type="duplicateValues" dxfId="956" priority="2243"/>
  </conditionalFormatting>
  <conditionalFormatting sqref="D232:D233 D229 D240 D242:D244">
    <cfRule type="duplicateValues" dxfId="955" priority="2237"/>
  </conditionalFormatting>
  <conditionalFormatting sqref="D232:D233 D229 D240 D242:D244">
    <cfRule type="duplicateValues" dxfId="954" priority="2235"/>
  </conditionalFormatting>
  <conditionalFormatting sqref="D250:D251 D254 D256 D259">
    <cfRule type="duplicateValues" dxfId="953" priority="2231"/>
  </conditionalFormatting>
  <conditionalFormatting sqref="D250:D251 D254 D256 D259">
    <cfRule type="duplicateValues" dxfId="952" priority="2229"/>
  </conditionalFormatting>
  <conditionalFormatting sqref="D250">
    <cfRule type="duplicateValues" dxfId="951" priority="2225"/>
  </conditionalFormatting>
  <conditionalFormatting sqref="D250">
    <cfRule type="duplicateValues" dxfId="950" priority="2223"/>
  </conditionalFormatting>
  <conditionalFormatting sqref="D200:D201 D208 D203 D206 D210:D211 D215">
    <cfRule type="duplicateValues" dxfId="949" priority="2218"/>
  </conditionalFormatting>
  <conditionalFormatting sqref="D200:D201 D208 D203 D206 D210:D211 D215">
    <cfRule type="duplicateValues" dxfId="948" priority="2220"/>
  </conditionalFormatting>
  <conditionalFormatting sqref="D188 D191 D195:D196">
    <cfRule type="duplicateValues" dxfId="947" priority="2213"/>
  </conditionalFormatting>
  <conditionalFormatting sqref="D188 D191 D195:D196">
    <cfRule type="duplicateValues" dxfId="946" priority="2215"/>
  </conditionalFormatting>
  <conditionalFormatting sqref="D185">
    <cfRule type="duplicateValues" dxfId="945" priority="2208"/>
  </conditionalFormatting>
  <conditionalFormatting sqref="D185">
    <cfRule type="duplicateValues" dxfId="944" priority="2210"/>
  </conditionalFormatting>
  <conditionalFormatting sqref="D183">
    <cfRule type="duplicateValues" dxfId="943" priority="2203"/>
  </conditionalFormatting>
  <conditionalFormatting sqref="D183">
    <cfRule type="duplicateValues" dxfId="942" priority="2205"/>
  </conditionalFormatting>
  <conditionalFormatting sqref="D168 D173 D170 D175:D176 D178 D181 D183 D185:D186">
    <cfRule type="duplicateValues" dxfId="941" priority="2198"/>
  </conditionalFormatting>
  <conditionalFormatting sqref="D168 D173 D170 D175:D176 D178 D181 D183 D185:D186">
    <cfRule type="duplicateValues" dxfId="940" priority="2200"/>
  </conditionalFormatting>
  <conditionalFormatting sqref="D185 D183">
    <cfRule type="duplicateValues" dxfId="939" priority="2193"/>
  </conditionalFormatting>
  <conditionalFormatting sqref="D185 D183">
    <cfRule type="duplicateValues" dxfId="938" priority="2195"/>
  </conditionalFormatting>
  <conditionalFormatting sqref="D186">
    <cfRule type="duplicateValues" dxfId="937" priority="2188"/>
  </conditionalFormatting>
  <conditionalFormatting sqref="D186">
    <cfRule type="duplicateValues" dxfId="936" priority="2190"/>
  </conditionalFormatting>
  <conditionalFormatting sqref="D185">
    <cfRule type="duplicateValues" dxfId="935" priority="2183"/>
  </conditionalFormatting>
  <conditionalFormatting sqref="D185">
    <cfRule type="duplicateValues" dxfId="934" priority="2185"/>
  </conditionalFormatting>
  <conditionalFormatting sqref="D186">
    <cfRule type="duplicateValues" dxfId="933" priority="2178"/>
  </conditionalFormatting>
  <conditionalFormatting sqref="D186">
    <cfRule type="duplicateValues" dxfId="932" priority="2180"/>
  </conditionalFormatting>
  <conditionalFormatting sqref="D188 D186">
    <cfRule type="duplicateValues" dxfId="931" priority="2173"/>
  </conditionalFormatting>
  <conditionalFormatting sqref="D188 D186">
    <cfRule type="duplicateValues" dxfId="930" priority="2175"/>
  </conditionalFormatting>
  <conditionalFormatting sqref="D185">
    <cfRule type="duplicateValues" dxfId="929" priority="2168"/>
  </conditionalFormatting>
  <conditionalFormatting sqref="D185">
    <cfRule type="duplicateValues" dxfId="928" priority="2170"/>
  </conditionalFormatting>
  <conditionalFormatting sqref="D185">
    <cfRule type="duplicateValues" dxfId="927" priority="2163"/>
  </conditionalFormatting>
  <conditionalFormatting sqref="D185">
    <cfRule type="duplicateValues" dxfId="926" priority="2165"/>
  </conditionalFormatting>
  <conditionalFormatting sqref="D186">
    <cfRule type="duplicateValues" dxfId="925" priority="2158"/>
  </conditionalFormatting>
  <conditionalFormatting sqref="D186">
    <cfRule type="duplicateValues" dxfId="924" priority="2160"/>
  </conditionalFormatting>
  <conditionalFormatting sqref="D185">
    <cfRule type="duplicateValues" dxfId="923" priority="2153"/>
  </conditionalFormatting>
  <conditionalFormatting sqref="D185">
    <cfRule type="duplicateValues" dxfId="922" priority="2155"/>
  </conditionalFormatting>
  <conditionalFormatting sqref="D185">
    <cfRule type="duplicateValues" dxfId="921" priority="2148"/>
  </conditionalFormatting>
  <conditionalFormatting sqref="D185">
    <cfRule type="duplicateValues" dxfId="920" priority="2150"/>
  </conditionalFormatting>
  <conditionalFormatting sqref="D185">
    <cfRule type="duplicateValues" dxfId="919" priority="2143"/>
  </conditionalFormatting>
  <conditionalFormatting sqref="D185">
    <cfRule type="duplicateValues" dxfId="918" priority="2145"/>
  </conditionalFormatting>
  <conditionalFormatting sqref="D188">
    <cfRule type="duplicateValues" dxfId="917" priority="2138"/>
  </conditionalFormatting>
  <conditionalFormatting sqref="D188">
    <cfRule type="duplicateValues" dxfId="916" priority="2140"/>
  </conditionalFormatting>
  <conditionalFormatting sqref="D186">
    <cfRule type="duplicateValues" dxfId="915" priority="2133"/>
  </conditionalFormatting>
  <conditionalFormatting sqref="D186">
    <cfRule type="duplicateValues" dxfId="914" priority="2135"/>
  </conditionalFormatting>
  <conditionalFormatting sqref="D185">
    <cfRule type="duplicateValues" dxfId="913" priority="2128"/>
  </conditionalFormatting>
  <conditionalFormatting sqref="D185">
    <cfRule type="duplicateValues" dxfId="912" priority="2130"/>
  </conditionalFormatting>
  <conditionalFormatting sqref="D186">
    <cfRule type="duplicateValues" dxfId="911" priority="2123"/>
  </conditionalFormatting>
  <conditionalFormatting sqref="D186">
    <cfRule type="duplicateValues" dxfId="910" priority="2125"/>
  </conditionalFormatting>
  <conditionalFormatting sqref="D188">
    <cfRule type="duplicateValues" dxfId="909" priority="2118"/>
  </conditionalFormatting>
  <conditionalFormatting sqref="D188">
    <cfRule type="duplicateValues" dxfId="908" priority="2120"/>
  </conditionalFormatting>
  <conditionalFormatting sqref="D185">
    <cfRule type="duplicateValues" dxfId="907" priority="2113"/>
  </conditionalFormatting>
  <conditionalFormatting sqref="D185">
    <cfRule type="duplicateValues" dxfId="906" priority="2115"/>
  </conditionalFormatting>
  <conditionalFormatting sqref="D188">
    <cfRule type="duplicateValues" dxfId="905" priority="2108"/>
  </conditionalFormatting>
  <conditionalFormatting sqref="D188">
    <cfRule type="duplicateValues" dxfId="904" priority="2110"/>
  </conditionalFormatting>
  <conditionalFormatting sqref="D185">
    <cfRule type="duplicateValues" dxfId="903" priority="2103"/>
  </conditionalFormatting>
  <conditionalFormatting sqref="D185">
    <cfRule type="duplicateValues" dxfId="902" priority="2105"/>
  </conditionalFormatting>
  <conditionalFormatting sqref="D185">
    <cfRule type="duplicateValues" dxfId="901" priority="2098"/>
  </conditionalFormatting>
  <conditionalFormatting sqref="D185">
    <cfRule type="duplicateValues" dxfId="900" priority="2100"/>
  </conditionalFormatting>
  <conditionalFormatting sqref="D188">
    <cfRule type="duplicateValues" dxfId="899" priority="2093"/>
  </conditionalFormatting>
  <conditionalFormatting sqref="D188">
    <cfRule type="duplicateValues" dxfId="898" priority="2095"/>
  </conditionalFormatting>
  <conditionalFormatting sqref="D186">
    <cfRule type="duplicateValues" dxfId="897" priority="2088"/>
  </conditionalFormatting>
  <conditionalFormatting sqref="D186">
    <cfRule type="duplicateValues" dxfId="896" priority="2090"/>
  </conditionalFormatting>
  <conditionalFormatting sqref="D188">
    <cfRule type="duplicateValues" dxfId="895" priority="2083"/>
  </conditionalFormatting>
  <conditionalFormatting sqref="D188">
    <cfRule type="duplicateValues" dxfId="894" priority="2085"/>
  </conditionalFormatting>
  <conditionalFormatting sqref="D185">
    <cfRule type="duplicateValues" dxfId="893" priority="2078"/>
  </conditionalFormatting>
  <conditionalFormatting sqref="D185">
    <cfRule type="duplicateValues" dxfId="892" priority="2080"/>
  </conditionalFormatting>
  <conditionalFormatting sqref="D185">
    <cfRule type="duplicateValues" dxfId="891" priority="2073"/>
  </conditionalFormatting>
  <conditionalFormatting sqref="D185">
    <cfRule type="duplicateValues" dxfId="890" priority="2075"/>
  </conditionalFormatting>
  <conditionalFormatting sqref="D188">
    <cfRule type="duplicateValues" dxfId="889" priority="2068"/>
  </conditionalFormatting>
  <conditionalFormatting sqref="D188">
    <cfRule type="duplicateValues" dxfId="888" priority="2070"/>
  </conditionalFormatting>
  <conditionalFormatting sqref="D186">
    <cfRule type="duplicateValues" dxfId="887" priority="2063"/>
  </conditionalFormatting>
  <conditionalFormatting sqref="D186">
    <cfRule type="duplicateValues" dxfId="886" priority="2065"/>
  </conditionalFormatting>
  <conditionalFormatting sqref="D185">
    <cfRule type="duplicateValues" dxfId="885" priority="2058"/>
  </conditionalFormatting>
  <conditionalFormatting sqref="D185">
    <cfRule type="duplicateValues" dxfId="884" priority="2060"/>
  </conditionalFormatting>
  <conditionalFormatting sqref="D188">
    <cfRule type="duplicateValues" dxfId="883" priority="2053"/>
  </conditionalFormatting>
  <conditionalFormatting sqref="D188">
    <cfRule type="duplicateValues" dxfId="882" priority="2055"/>
  </conditionalFormatting>
  <conditionalFormatting sqref="D186">
    <cfRule type="duplicateValues" dxfId="881" priority="2048"/>
  </conditionalFormatting>
  <conditionalFormatting sqref="D186">
    <cfRule type="duplicateValues" dxfId="880" priority="2050"/>
  </conditionalFormatting>
  <conditionalFormatting sqref="D168 D188 D186">
    <cfRule type="duplicateValues" dxfId="879" priority="2043"/>
  </conditionalFormatting>
  <conditionalFormatting sqref="D168 D188 D186">
    <cfRule type="duplicateValues" dxfId="878" priority="2045"/>
  </conditionalFormatting>
  <conditionalFormatting sqref="D185">
    <cfRule type="duplicateValues" dxfId="877" priority="2038"/>
  </conditionalFormatting>
  <conditionalFormatting sqref="D185">
    <cfRule type="duplicateValues" dxfId="876" priority="2040"/>
  </conditionalFormatting>
  <conditionalFormatting sqref="D186">
    <cfRule type="duplicateValues" dxfId="875" priority="2033"/>
  </conditionalFormatting>
  <conditionalFormatting sqref="D186">
    <cfRule type="duplicateValues" dxfId="874" priority="2035"/>
  </conditionalFormatting>
  <conditionalFormatting sqref="D188">
    <cfRule type="duplicateValues" dxfId="873" priority="2028"/>
  </conditionalFormatting>
  <conditionalFormatting sqref="D188">
    <cfRule type="duplicateValues" dxfId="872" priority="2030"/>
  </conditionalFormatting>
  <conditionalFormatting sqref="D185">
    <cfRule type="duplicateValues" dxfId="871" priority="2023"/>
  </conditionalFormatting>
  <conditionalFormatting sqref="D185">
    <cfRule type="duplicateValues" dxfId="870" priority="2025"/>
  </conditionalFormatting>
  <conditionalFormatting sqref="D188">
    <cfRule type="duplicateValues" dxfId="869" priority="2018"/>
  </conditionalFormatting>
  <conditionalFormatting sqref="D188">
    <cfRule type="duplicateValues" dxfId="868" priority="2020"/>
  </conditionalFormatting>
  <conditionalFormatting sqref="D185">
    <cfRule type="duplicateValues" dxfId="867" priority="2013"/>
  </conditionalFormatting>
  <conditionalFormatting sqref="D185">
    <cfRule type="duplicateValues" dxfId="866" priority="2015"/>
  </conditionalFormatting>
  <conditionalFormatting sqref="D185">
    <cfRule type="duplicateValues" dxfId="865" priority="2008"/>
  </conditionalFormatting>
  <conditionalFormatting sqref="D185">
    <cfRule type="duplicateValues" dxfId="864" priority="2010"/>
  </conditionalFormatting>
  <conditionalFormatting sqref="D188">
    <cfRule type="duplicateValues" dxfId="863" priority="2003"/>
  </conditionalFormatting>
  <conditionalFormatting sqref="D188">
    <cfRule type="duplicateValues" dxfId="862" priority="2005"/>
  </conditionalFormatting>
  <conditionalFormatting sqref="D186">
    <cfRule type="duplicateValues" dxfId="861" priority="1998"/>
  </conditionalFormatting>
  <conditionalFormatting sqref="D186">
    <cfRule type="duplicateValues" dxfId="860" priority="2000"/>
  </conditionalFormatting>
  <conditionalFormatting sqref="D188">
    <cfRule type="duplicateValues" dxfId="859" priority="1993"/>
  </conditionalFormatting>
  <conditionalFormatting sqref="D188">
    <cfRule type="duplicateValues" dxfId="858" priority="1995"/>
  </conditionalFormatting>
  <conditionalFormatting sqref="D185">
    <cfRule type="duplicateValues" dxfId="857" priority="1988"/>
  </conditionalFormatting>
  <conditionalFormatting sqref="D185">
    <cfRule type="duplicateValues" dxfId="856" priority="1990"/>
  </conditionalFormatting>
  <conditionalFormatting sqref="D185">
    <cfRule type="duplicateValues" dxfId="855" priority="1983"/>
  </conditionalFormatting>
  <conditionalFormatting sqref="D185">
    <cfRule type="duplicateValues" dxfId="854" priority="1985"/>
  </conditionalFormatting>
  <conditionalFormatting sqref="D188">
    <cfRule type="duplicateValues" dxfId="853" priority="1978"/>
  </conditionalFormatting>
  <conditionalFormatting sqref="D188">
    <cfRule type="duplicateValues" dxfId="852" priority="1980"/>
  </conditionalFormatting>
  <conditionalFormatting sqref="D186">
    <cfRule type="duplicateValues" dxfId="851" priority="1973"/>
  </conditionalFormatting>
  <conditionalFormatting sqref="D186">
    <cfRule type="duplicateValues" dxfId="850" priority="1975"/>
  </conditionalFormatting>
  <conditionalFormatting sqref="D185">
    <cfRule type="duplicateValues" dxfId="849" priority="1968"/>
  </conditionalFormatting>
  <conditionalFormatting sqref="D185">
    <cfRule type="duplicateValues" dxfId="848" priority="1970"/>
  </conditionalFormatting>
  <conditionalFormatting sqref="D188">
    <cfRule type="duplicateValues" dxfId="847" priority="1963"/>
  </conditionalFormatting>
  <conditionalFormatting sqref="D188">
    <cfRule type="duplicateValues" dxfId="846" priority="1965"/>
  </conditionalFormatting>
  <conditionalFormatting sqref="D186">
    <cfRule type="duplicateValues" dxfId="845" priority="1958"/>
  </conditionalFormatting>
  <conditionalFormatting sqref="D186">
    <cfRule type="duplicateValues" dxfId="844" priority="1960"/>
  </conditionalFormatting>
  <conditionalFormatting sqref="D188">
    <cfRule type="duplicateValues" dxfId="843" priority="1953"/>
  </conditionalFormatting>
  <conditionalFormatting sqref="D188">
    <cfRule type="duplicateValues" dxfId="842" priority="1955"/>
  </conditionalFormatting>
  <conditionalFormatting sqref="D188">
    <cfRule type="duplicateValues" dxfId="841" priority="1948"/>
  </conditionalFormatting>
  <conditionalFormatting sqref="D188">
    <cfRule type="duplicateValues" dxfId="840" priority="1950"/>
  </conditionalFormatting>
  <conditionalFormatting sqref="D185">
    <cfRule type="duplicateValues" dxfId="839" priority="1943"/>
  </conditionalFormatting>
  <conditionalFormatting sqref="D185">
    <cfRule type="duplicateValues" dxfId="838" priority="1945"/>
  </conditionalFormatting>
  <conditionalFormatting sqref="D185">
    <cfRule type="duplicateValues" dxfId="837" priority="1938"/>
  </conditionalFormatting>
  <conditionalFormatting sqref="D185">
    <cfRule type="duplicateValues" dxfId="836" priority="1940"/>
  </conditionalFormatting>
  <conditionalFormatting sqref="D188">
    <cfRule type="duplicateValues" dxfId="835" priority="1933"/>
  </conditionalFormatting>
  <conditionalFormatting sqref="D188">
    <cfRule type="duplicateValues" dxfId="834" priority="1935"/>
  </conditionalFormatting>
  <conditionalFormatting sqref="D186">
    <cfRule type="duplicateValues" dxfId="833" priority="1928"/>
  </conditionalFormatting>
  <conditionalFormatting sqref="D186">
    <cfRule type="duplicateValues" dxfId="832" priority="1930"/>
  </conditionalFormatting>
  <conditionalFormatting sqref="D185">
    <cfRule type="duplicateValues" dxfId="831" priority="1923"/>
  </conditionalFormatting>
  <conditionalFormatting sqref="D185">
    <cfRule type="duplicateValues" dxfId="830" priority="1925"/>
  </conditionalFormatting>
  <conditionalFormatting sqref="D188">
    <cfRule type="duplicateValues" dxfId="829" priority="1918"/>
  </conditionalFormatting>
  <conditionalFormatting sqref="D188">
    <cfRule type="duplicateValues" dxfId="828" priority="1920"/>
  </conditionalFormatting>
  <conditionalFormatting sqref="D186">
    <cfRule type="duplicateValues" dxfId="827" priority="1913"/>
  </conditionalFormatting>
  <conditionalFormatting sqref="D186">
    <cfRule type="duplicateValues" dxfId="826" priority="1915"/>
  </conditionalFormatting>
  <conditionalFormatting sqref="D188">
    <cfRule type="duplicateValues" dxfId="825" priority="1908"/>
  </conditionalFormatting>
  <conditionalFormatting sqref="D188">
    <cfRule type="duplicateValues" dxfId="824" priority="1910"/>
  </conditionalFormatting>
  <conditionalFormatting sqref="D185">
    <cfRule type="duplicateValues" dxfId="823" priority="1903"/>
  </conditionalFormatting>
  <conditionalFormatting sqref="D185">
    <cfRule type="duplicateValues" dxfId="822" priority="1905"/>
  </conditionalFormatting>
  <conditionalFormatting sqref="D188">
    <cfRule type="duplicateValues" dxfId="821" priority="1898"/>
  </conditionalFormatting>
  <conditionalFormatting sqref="D188">
    <cfRule type="duplicateValues" dxfId="820" priority="1900"/>
  </conditionalFormatting>
  <conditionalFormatting sqref="D186">
    <cfRule type="duplicateValues" dxfId="819" priority="1893"/>
  </conditionalFormatting>
  <conditionalFormatting sqref="D186">
    <cfRule type="duplicateValues" dxfId="818" priority="1895"/>
  </conditionalFormatting>
  <conditionalFormatting sqref="D188">
    <cfRule type="duplicateValues" dxfId="817" priority="1888"/>
  </conditionalFormatting>
  <conditionalFormatting sqref="D188">
    <cfRule type="duplicateValues" dxfId="816" priority="1890"/>
  </conditionalFormatting>
  <conditionalFormatting sqref="D188">
    <cfRule type="duplicateValues" dxfId="815" priority="1883"/>
  </conditionalFormatting>
  <conditionalFormatting sqref="D188">
    <cfRule type="duplicateValues" dxfId="814" priority="1885"/>
  </conditionalFormatting>
  <conditionalFormatting sqref="D188">
    <cfRule type="duplicateValues" dxfId="813" priority="1878"/>
  </conditionalFormatting>
  <conditionalFormatting sqref="D188">
    <cfRule type="duplicateValues" dxfId="812" priority="1880"/>
  </conditionalFormatting>
  <conditionalFormatting sqref="D185">
    <cfRule type="duplicateValues" dxfId="811" priority="1873"/>
  </conditionalFormatting>
  <conditionalFormatting sqref="D185">
    <cfRule type="duplicateValues" dxfId="810" priority="1875"/>
  </conditionalFormatting>
  <conditionalFormatting sqref="D185">
    <cfRule type="duplicateValues" dxfId="809" priority="1868"/>
  </conditionalFormatting>
  <conditionalFormatting sqref="D185">
    <cfRule type="duplicateValues" dxfId="808" priority="1870"/>
  </conditionalFormatting>
  <conditionalFormatting sqref="D185">
    <cfRule type="duplicateValues" dxfId="807" priority="1863"/>
  </conditionalFormatting>
  <conditionalFormatting sqref="D185">
    <cfRule type="duplicateValues" dxfId="806" priority="1865"/>
  </conditionalFormatting>
  <conditionalFormatting sqref="D185">
    <cfRule type="duplicateValues" dxfId="805" priority="1858"/>
  </conditionalFormatting>
  <conditionalFormatting sqref="D185">
    <cfRule type="duplicateValues" dxfId="804" priority="1860"/>
  </conditionalFormatting>
  <conditionalFormatting sqref="D185">
    <cfRule type="duplicateValues" dxfId="803" priority="1853"/>
  </conditionalFormatting>
  <conditionalFormatting sqref="D185">
    <cfRule type="duplicateValues" dxfId="802" priority="1855"/>
  </conditionalFormatting>
  <conditionalFormatting sqref="D185">
    <cfRule type="duplicateValues" dxfId="801" priority="1848"/>
  </conditionalFormatting>
  <conditionalFormatting sqref="D185">
    <cfRule type="duplicateValues" dxfId="800" priority="1850"/>
  </conditionalFormatting>
  <conditionalFormatting sqref="D185">
    <cfRule type="duplicateValues" dxfId="799" priority="1843"/>
  </conditionalFormatting>
  <conditionalFormatting sqref="D185">
    <cfRule type="duplicateValues" dxfId="798" priority="1845"/>
  </conditionalFormatting>
  <conditionalFormatting sqref="D185">
    <cfRule type="duplicateValues" dxfId="797" priority="1838"/>
  </conditionalFormatting>
  <conditionalFormatting sqref="D185">
    <cfRule type="duplicateValues" dxfId="796" priority="1840"/>
  </conditionalFormatting>
  <conditionalFormatting sqref="D185">
    <cfRule type="duplicateValues" dxfId="795" priority="1833"/>
  </conditionalFormatting>
  <conditionalFormatting sqref="D185">
    <cfRule type="duplicateValues" dxfId="794" priority="1835"/>
  </conditionalFormatting>
  <conditionalFormatting sqref="D185">
    <cfRule type="duplicateValues" dxfId="793" priority="1828"/>
  </conditionalFormatting>
  <conditionalFormatting sqref="D185">
    <cfRule type="duplicateValues" dxfId="792" priority="1830"/>
  </conditionalFormatting>
  <conditionalFormatting sqref="D185">
    <cfRule type="duplicateValues" dxfId="791" priority="1823"/>
  </conditionalFormatting>
  <conditionalFormatting sqref="D185">
    <cfRule type="duplicateValues" dxfId="790" priority="1825"/>
  </conditionalFormatting>
  <conditionalFormatting sqref="D185">
    <cfRule type="duplicateValues" dxfId="789" priority="1818"/>
  </conditionalFormatting>
  <conditionalFormatting sqref="D185">
    <cfRule type="duplicateValues" dxfId="788" priority="1820"/>
  </conditionalFormatting>
  <conditionalFormatting sqref="D185">
    <cfRule type="duplicateValues" dxfId="787" priority="1813"/>
  </conditionalFormatting>
  <conditionalFormatting sqref="D185">
    <cfRule type="duplicateValues" dxfId="786" priority="1815"/>
  </conditionalFormatting>
  <conditionalFormatting sqref="D185">
    <cfRule type="duplicateValues" dxfId="785" priority="1808"/>
  </conditionalFormatting>
  <conditionalFormatting sqref="D185">
    <cfRule type="duplicateValues" dxfId="784" priority="1810"/>
  </conditionalFormatting>
  <conditionalFormatting sqref="D185">
    <cfRule type="duplicateValues" dxfId="783" priority="1803"/>
  </conditionalFormatting>
  <conditionalFormatting sqref="D185">
    <cfRule type="duplicateValues" dxfId="782" priority="1805"/>
  </conditionalFormatting>
  <conditionalFormatting sqref="D185">
    <cfRule type="duplicateValues" dxfId="781" priority="1798"/>
  </conditionalFormatting>
  <conditionalFormatting sqref="D185">
    <cfRule type="duplicateValues" dxfId="780" priority="1800"/>
  </conditionalFormatting>
  <conditionalFormatting sqref="D170">
    <cfRule type="duplicateValues" dxfId="779" priority="1793"/>
  </conditionalFormatting>
  <conditionalFormatting sqref="D170">
    <cfRule type="duplicateValues" dxfId="778" priority="1795"/>
  </conditionalFormatting>
  <conditionalFormatting sqref="D171">
    <cfRule type="duplicateValues" dxfId="777" priority="1788"/>
  </conditionalFormatting>
  <conditionalFormatting sqref="D171">
    <cfRule type="duplicateValues" dxfId="776" priority="1791"/>
  </conditionalFormatting>
  <conditionalFormatting sqref="D153 D155:D156 D158 D163 D160:D161 D165:D166 D168 D170">
    <cfRule type="duplicateValues" dxfId="775" priority="1783"/>
  </conditionalFormatting>
  <conditionalFormatting sqref="D153 D155:D156 D158 D163 D160:D161 D165:D166 D168 D170">
    <cfRule type="duplicateValues" dxfId="774" priority="1786"/>
  </conditionalFormatting>
  <conditionalFormatting sqref="D109 D111 D86 D43 D39 D91 D80 D82:D84 D88:D89 D99 D71:D78 D69 D51 D45 D47 D49 D67 D93 D103">
    <cfRule type="duplicateValues" dxfId="773" priority="1778"/>
  </conditionalFormatting>
  <conditionalFormatting sqref="D109 D111 D86 D43 D39 D91 D80 D82:D84 D88:D89 D99 D71:D78 D69 D51 D45 D47 D49 D67 D93 D103">
    <cfRule type="duplicateValues" dxfId="772" priority="1781"/>
  </conditionalFormatting>
  <conditionalFormatting sqref="D150:D152">
    <cfRule type="duplicateValues" dxfId="771" priority="1773"/>
  </conditionalFormatting>
  <conditionalFormatting sqref="D150:D152">
    <cfRule type="duplicateValues" dxfId="770" priority="1776"/>
  </conditionalFormatting>
  <conditionalFormatting sqref="D154">
    <cfRule type="duplicateValues" dxfId="769" priority="1770"/>
  </conditionalFormatting>
  <conditionalFormatting sqref="D157">
    <cfRule type="duplicateValues" dxfId="768" priority="1763"/>
  </conditionalFormatting>
  <conditionalFormatting sqref="D157">
    <cfRule type="duplicateValues" dxfId="767" priority="1765"/>
  </conditionalFormatting>
  <conditionalFormatting sqref="D162">
    <cfRule type="duplicateValues" dxfId="766" priority="1758"/>
  </conditionalFormatting>
  <conditionalFormatting sqref="D162">
    <cfRule type="duplicateValues" dxfId="765" priority="1760"/>
  </conditionalFormatting>
  <conditionalFormatting sqref="D159">
    <cfRule type="duplicateValues" dxfId="764" priority="1753"/>
  </conditionalFormatting>
  <conditionalFormatting sqref="D159">
    <cfRule type="duplicateValues" dxfId="763" priority="1756"/>
  </conditionalFormatting>
  <conditionalFormatting sqref="D164">
    <cfRule type="duplicateValues" dxfId="762" priority="1748"/>
  </conditionalFormatting>
  <conditionalFormatting sqref="D164">
    <cfRule type="duplicateValues" dxfId="761" priority="1751"/>
  </conditionalFormatting>
  <conditionalFormatting sqref="D167">
    <cfRule type="duplicateValues" dxfId="760" priority="1743"/>
  </conditionalFormatting>
  <conditionalFormatting sqref="D167">
    <cfRule type="duplicateValues" dxfId="759" priority="1746"/>
  </conditionalFormatting>
  <conditionalFormatting sqref="D172">
    <cfRule type="duplicateValues" dxfId="758" priority="1738"/>
  </conditionalFormatting>
  <conditionalFormatting sqref="D172">
    <cfRule type="duplicateValues" dxfId="757" priority="1741"/>
  </conditionalFormatting>
  <conditionalFormatting sqref="D174">
    <cfRule type="duplicateValues" dxfId="756" priority="1733"/>
  </conditionalFormatting>
  <conditionalFormatting sqref="D174">
    <cfRule type="duplicateValues" dxfId="755" priority="1736"/>
  </conditionalFormatting>
  <conditionalFormatting sqref="D177">
    <cfRule type="duplicateValues" dxfId="754" priority="1728"/>
  </conditionalFormatting>
  <conditionalFormatting sqref="D177">
    <cfRule type="duplicateValues" dxfId="753" priority="1731"/>
  </conditionalFormatting>
  <conditionalFormatting sqref="D179">
    <cfRule type="duplicateValues" dxfId="752" priority="1723"/>
  </conditionalFormatting>
  <conditionalFormatting sqref="D179">
    <cfRule type="duplicateValues" dxfId="751" priority="1726"/>
  </conditionalFormatting>
  <conditionalFormatting sqref="D182">
    <cfRule type="duplicateValues" dxfId="750" priority="1718"/>
  </conditionalFormatting>
  <conditionalFormatting sqref="D182">
    <cfRule type="duplicateValues" dxfId="749" priority="1721"/>
  </conditionalFormatting>
  <conditionalFormatting sqref="D184">
    <cfRule type="duplicateValues" dxfId="748" priority="1713"/>
  </conditionalFormatting>
  <conditionalFormatting sqref="D184">
    <cfRule type="duplicateValues" dxfId="747" priority="1716"/>
  </conditionalFormatting>
  <conditionalFormatting sqref="D189">
    <cfRule type="duplicateValues" dxfId="746" priority="1708"/>
  </conditionalFormatting>
  <conditionalFormatting sqref="D189">
    <cfRule type="duplicateValues" dxfId="745" priority="1711"/>
  </conditionalFormatting>
  <conditionalFormatting sqref="D197">
    <cfRule type="duplicateValues" dxfId="744" priority="1703"/>
  </conditionalFormatting>
  <conditionalFormatting sqref="D197">
    <cfRule type="duplicateValues" dxfId="743" priority="1706"/>
  </conditionalFormatting>
  <conditionalFormatting sqref="D187">
    <cfRule type="duplicateValues" dxfId="742" priority="1698"/>
  </conditionalFormatting>
  <conditionalFormatting sqref="D187">
    <cfRule type="duplicateValues" dxfId="741" priority="1701"/>
  </conditionalFormatting>
  <conditionalFormatting sqref="D192">
    <cfRule type="duplicateValues" dxfId="740" priority="1693"/>
  </conditionalFormatting>
  <conditionalFormatting sqref="D192">
    <cfRule type="duplicateValues" dxfId="739" priority="1696"/>
  </conditionalFormatting>
  <conditionalFormatting sqref="D194">
    <cfRule type="duplicateValues" dxfId="738" priority="1688"/>
  </conditionalFormatting>
  <conditionalFormatting sqref="D194">
    <cfRule type="duplicateValues" dxfId="737" priority="1691"/>
  </conditionalFormatting>
  <conditionalFormatting sqref="D199">
    <cfRule type="duplicateValues" dxfId="736" priority="1683"/>
  </conditionalFormatting>
  <conditionalFormatting sqref="D199">
    <cfRule type="duplicateValues" dxfId="735" priority="1686"/>
  </conditionalFormatting>
  <conditionalFormatting sqref="D204">
    <cfRule type="duplicateValues" dxfId="734" priority="1668"/>
  </conditionalFormatting>
  <conditionalFormatting sqref="D204">
    <cfRule type="duplicateValues" dxfId="733" priority="1671"/>
  </conditionalFormatting>
  <conditionalFormatting sqref="D209">
    <cfRule type="duplicateValues" dxfId="732" priority="1658"/>
  </conditionalFormatting>
  <conditionalFormatting sqref="D209">
    <cfRule type="duplicateValues" dxfId="731" priority="1661"/>
  </conditionalFormatting>
  <conditionalFormatting sqref="D214">
    <cfRule type="duplicateValues" dxfId="730" priority="1653"/>
  </conditionalFormatting>
  <conditionalFormatting sqref="D214">
    <cfRule type="duplicateValues" dxfId="729" priority="1656"/>
  </conditionalFormatting>
  <conditionalFormatting sqref="D114">
    <cfRule type="duplicateValues" dxfId="728" priority="1623"/>
  </conditionalFormatting>
  <conditionalFormatting sqref="D114">
    <cfRule type="duplicateValues" dxfId="727" priority="1626"/>
  </conditionalFormatting>
  <conditionalFormatting sqref="D116">
    <cfRule type="duplicateValues" dxfId="726" priority="1618"/>
  </conditionalFormatting>
  <conditionalFormatting sqref="D116">
    <cfRule type="duplicateValues" dxfId="725" priority="1621"/>
  </conditionalFormatting>
  <conditionalFormatting sqref="D118">
    <cfRule type="duplicateValues" dxfId="724" priority="1603"/>
  </conditionalFormatting>
  <conditionalFormatting sqref="D118">
    <cfRule type="duplicateValues" dxfId="723" priority="1606"/>
  </conditionalFormatting>
  <conditionalFormatting sqref="D231">
    <cfRule type="duplicateValues" dxfId="722" priority="1597"/>
  </conditionalFormatting>
  <conditionalFormatting sqref="D231">
    <cfRule type="duplicateValues" dxfId="721" priority="1595"/>
  </conditionalFormatting>
  <conditionalFormatting sqref="D230">
    <cfRule type="duplicateValues" dxfId="720" priority="1591"/>
  </conditionalFormatting>
  <conditionalFormatting sqref="D230">
    <cfRule type="duplicateValues" dxfId="719" priority="1589"/>
  </conditionalFormatting>
  <conditionalFormatting sqref="D228">
    <cfRule type="duplicateValues" dxfId="718" priority="1585"/>
  </conditionalFormatting>
  <conditionalFormatting sqref="D228">
    <cfRule type="duplicateValues" dxfId="717" priority="1583"/>
  </conditionalFormatting>
  <conditionalFormatting sqref="D216 D223:D227 D218 D220">
    <cfRule type="duplicateValues" dxfId="716" priority="1577"/>
  </conditionalFormatting>
  <conditionalFormatting sqref="D216 D223:D227 D218 D220">
    <cfRule type="duplicateValues" dxfId="715" priority="1580"/>
  </conditionalFormatting>
  <conditionalFormatting sqref="D368">
    <cfRule type="duplicateValues" dxfId="714" priority="1571"/>
  </conditionalFormatting>
  <conditionalFormatting sqref="D371">
    <cfRule type="duplicateValues" dxfId="713" priority="1561"/>
  </conditionalFormatting>
  <conditionalFormatting sqref="D369">
    <cfRule type="duplicateValues" dxfId="712" priority="1557"/>
  </conditionalFormatting>
  <conditionalFormatting sqref="D262:D265 D343:D349 D327:D328 D284:D292 D305:D309 D311:D315 D371 D330:D331 D277:D282 D355:D369 D351:D353 D333:D340 D317:D324 D294:D303">
    <cfRule type="duplicateValues" dxfId="711" priority="1555"/>
  </conditionalFormatting>
  <conditionalFormatting sqref="D262:D265 D343:D349 D327:D328 D284:D292 D305:D309 D311:D315 D330:D331 D277:D282 D355:D367 D351:D353 D333:D340 D317:D324 D294:D303">
    <cfRule type="duplicateValues" dxfId="710" priority="1574"/>
  </conditionalFormatting>
  <conditionalFormatting sqref="D347">
    <cfRule type="duplicateValues" dxfId="709" priority="1500"/>
  </conditionalFormatting>
  <conditionalFormatting sqref="D347">
    <cfRule type="duplicateValues" dxfId="708" priority="1498"/>
  </conditionalFormatting>
  <conditionalFormatting sqref="D367">
    <cfRule type="duplicateValues" dxfId="707" priority="1466"/>
  </conditionalFormatting>
  <conditionalFormatting sqref="D371">
    <cfRule type="duplicateValues" dxfId="706" priority="1458"/>
  </conditionalFormatting>
  <conditionalFormatting sqref="D369">
    <cfRule type="duplicateValues" dxfId="705" priority="1454"/>
  </conditionalFormatting>
  <conditionalFormatting sqref="D368">
    <cfRule type="duplicateValues" dxfId="704" priority="1452"/>
  </conditionalFormatting>
  <conditionalFormatting sqref="D346">
    <cfRule type="duplicateValues" dxfId="703" priority="1414"/>
  </conditionalFormatting>
  <conditionalFormatting sqref="D346">
    <cfRule type="duplicateValues" dxfId="702" priority="1412"/>
  </conditionalFormatting>
  <conditionalFormatting sqref="D367">
    <cfRule type="duplicateValues" dxfId="701" priority="1374"/>
  </conditionalFormatting>
  <conditionalFormatting sqref="D371">
    <cfRule type="duplicateValues" dxfId="700" priority="1366"/>
  </conditionalFormatting>
  <conditionalFormatting sqref="D369">
    <cfRule type="duplicateValues" dxfId="699" priority="1362"/>
  </conditionalFormatting>
  <conditionalFormatting sqref="D368">
    <cfRule type="duplicateValues" dxfId="698" priority="1360"/>
  </conditionalFormatting>
  <conditionalFormatting sqref="D346">
    <cfRule type="duplicateValues" dxfId="697" priority="1322"/>
  </conditionalFormatting>
  <conditionalFormatting sqref="D346">
    <cfRule type="duplicateValues" dxfId="696" priority="1320"/>
  </conditionalFormatting>
  <conditionalFormatting sqref="D366">
    <cfRule type="duplicateValues" dxfId="695" priority="1288"/>
  </conditionalFormatting>
  <conditionalFormatting sqref="D371">
    <cfRule type="duplicateValues" dxfId="694" priority="1282"/>
  </conditionalFormatting>
  <conditionalFormatting sqref="D369">
    <cfRule type="duplicateValues" dxfId="693" priority="1278"/>
  </conditionalFormatting>
  <conditionalFormatting sqref="D368">
    <cfRule type="duplicateValues" dxfId="692" priority="1276"/>
  </conditionalFormatting>
  <conditionalFormatting sqref="D367">
    <cfRule type="duplicateValues" dxfId="691" priority="1274"/>
  </conditionalFormatting>
  <conditionalFormatting sqref="D345">
    <cfRule type="duplicateValues" dxfId="690" priority="1236"/>
  </conditionalFormatting>
  <conditionalFormatting sqref="D345">
    <cfRule type="duplicateValues" dxfId="689" priority="1234"/>
  </conditionalFormatting>
  <conditionalFormatting sqref="D341">
    <cfRule type="duplicateValues" dxfId="688" priority="1188"/>
  </conditionalFormatting>
  <conditionalFormatting sqref="D341">
    <cfRule type="duplicateValues" dxfId="687" priority="1190"/>
  </conditionalFormatting>
  <conditionalFormatting sqref="D342">
    <cfRule type="duplicateValues" dxfId="686" priority="1183"/>
  </conditionalFormatting>
  <conditionalFormatting sqref="D342">
    <cfRule type="duplicateValues" dxfId="685" priority="1185"/>
  </conditionalFormatting>
  <conditionalFormatting sqref="D382">
    <cfRule type="duplicateValues" dxfId="684" priority="1176"/>
  </conditionalFormatting>
  <conditionalFormatting sqref="D382">
    <cfRule type="duplicateValues" dxfId="683" priority="1179"/>
  </conditionalFormatting>
  <conditionalFormatting sqref="D325">
    <cfRule type="duplicateValues" dxfId="682" priority="1169"/>
  </conditionalFormatting>
  <conditionalFormatting sqref="D325">
    <cfRule type="duplicateValues" dxfId="681" priority="1172"/>
  </conditionalFormatting>
  <conditionalFormatting sqref="D85">
    <cfRule type="duplicateValues" dxfId="680" priority="1163"/>
  </conditionalFormatting>
  <conditionalFormatting sqref="D85">
    <cfRule type="duplicateValues" dxfId="679" priority="1165"/>
  </conditionalFormatting>
  <conditionalFormatting sqref="D85">
    <cfRule type="duplicateValues" dxfId="678" priority="1158"/>
  </conditionalFormatting>
  <conditionalFormatting sqref="D85">
    <cfRule type="duplicateValues" dxfId="677" priority="1160"/>
  </conditionalFormatting>
  <conditionalFormatting sqref="D85">
    <cfRule type="duplicateValues" dxfId="676" priority="1153"/>
  </conditionalFormatting>
  <conditionalFormatting sqref="D85">
    <cfRule type="duplicateValues" dxfId="675" priority="1155"/>
  </conditionalFormatting>
  <conditionalFormatting sqref="D85">
    <cfRule type="duplicateValues" dxfId="674" priority="1148"/>
  </conditionalFormatting>
  <conditionalFormatting sqref="D85">
    <cfRule type="duplicateValues" dxfId="673" priority="1150"/>
  </conditionalFormatting>
  <conditionalFormatting sqref="D85">
    <cfRule type="duplicateValues" dxfId="672" priority="1143"/>
  </conditionalFormatting>
  <conditionalFormatting sqref="D85">
    <cfRule type="duplicateValues" dxfId="671" priority="1145"/>
  </conditionalFormatting>
  <conditionalFormatting sqref="D85">
    <cfRule type="duplicateValues" dxfId="670" priority="1138"/>
  </conditionalFormatting>
  <conditionalFormatting sqref="D85">
    <cfRule type="duplicateValues" dxfId="669" priority="1140"/>
  </conditionalFormatting>
  <conditionalFormatting sqref="D85">
    <cfRule type="duplicateValues" dxfId="668" priority="1133"/>
  </conditionalFormatting>
  <conditionalFormatting sqref="D85">
    <cfRule type="duplicateValues" dxfId="667" priority="1135"/>
  </conditionalFormatting>
  <conditionalFormatting sqref="D283">
    <cfRule type="duplicateValues" dxfId="666" priority="1126"/>
  </conditionalFormatting>
  <conditionalFormatting sqref="D283">
    <cfRule type="duplicateValues" dxfId="665" priority="1129"/>
  </conditionalFormatting>
  <conditionalFormatting sqref="D190">
    <cfRule type="duplicateValues" dxfId="664" priority="1120"/>
  </conditionalFormatting>
  <conditionalFormatting sqref="D190">
    <cfRule type="duplicateValues" dxfId="663" priority="1123"/>
  </conditionalFormatting>
  <conditionalFormatting sqref="D304">
    <cfRule type="duplicateValues" dxfId="662" priority="1113"/>
  </conditionalFormatting>
  <conditionalFormatting sqref="D304">
    <cfRule type="duplicateValues" dxfId="661" priority="1116"/>
  </conditionalFormatting>
  <conditionalFormatting sqref="D41">
    <cfRule type="duplicateValues" dxfId="660" priority="1107"/>
  </conditionalFormatting>
  <conditionalFormatting sqref="D41">
    <cfRule type="duplicateValues" dxfId="659" priority="1110"/>
  </conditionalFormatting>
  <conditionalFormatting sqref="D94">
    <cfRule type="duplicateValues" dxfId="658" priority="1101"/>
  </conditionalFormatting>
  <conditionalFormatting sqref="D94">
    <cfRule type="duplicateValues" dxfId="657" priority="1104"/>
  </conditionalFormatting>
  <conditionalFormatting sqref="D180">
    <cfRule type="duplicateValues" dxfId="656" priority="1089"/>
  </conditionalFormatting>
  <conditionalFormatting sqref="D180">
    <cfRule type="duplicateValues" dxfId="655" priority="1092"/>
  </conditionalFormatting>
  <conditionalFormatting sqref="D90">
    <cfRule type="duplicateValues" dxfId="654" priority="1083"/>
  </conditionalFormatting>
  <conditionalFormatting sqref="D90">
    <cfRule type="duplicateValues" dxfId="653" priority="1086"/>
  </conditionalFormatting>
  <conditionalFormatting sqref="D134:D146">
    <cfRule type="duplicateValues" dxfId="652" priority="1071"/>
  </conditionalFormatting>
  <conditionalFormatting sqref="D134:D146">
    <cfRule type="duplicateValues" dxfId="651" priority="1074"/>
  </conditionalFormatting>
  <conditionalFormatting sqref="D169">
    <cfRule type="duplicateValues" dxfId="650" priority="1015"/>
  </conditionalFormatting>
  <conditionalFormatting sqref="D169">
    <cfRule type="duplicateValues" dxfId="649" priority="1018"/>
  </conditionalFormatting>
  <conditionalFormatting sqref="D198">
    <cfRule type="duplicateValues" dxfId="648" priority="959"/>
  </conditionalFormatting>
  <conditionalFormatting sqref="D198">
    <cfRule type="duplicateValues" dxfId="647" priority="962"/>
  </conditionalFormatting>
  <conditionalFormatting sqref="D310">
    <cfRule type="duplicateValues" dxfId="646" priority="952"/>
  </conditionalFormatting>
  <conditionalFormatting sqref="D310">
    <cfRule type="duplicateValues" dxfId="645" priority="955"/>
  </conditionalFormatting>
  <conditionalFormatting sqref="D148:D149">
    <cfRule type="duplicateValues" dxfId="644" priority="948"/>
  </conditionalFormatting>
  <conditionalFormatting sqref="D148:D149">
    <cfRule type="duplicateValues" dxfId="643" priority="949"/>
  </conditionalFormatting>
  <conditionalFormatting sqref="D147">
    <cfRule type="duplicateValues" dxfId="642" priority="946"/>
  </conditionalFormatting>
  <conditionalFormatting sqref="D147">
    <cfRule type="duplicateValues" dxfId="641" priority="947"/>
  </conditionalFormatting>
  <conditionalFormatting sqref="D81">
    <cfRule type="duplicateValues" dxfId="640" priority="942"/>
  </conditionalFormatting>
  <conditionalFormatting sqref="D81">
    <cfRule type="duplicateValues" dxfId="639" priority="943"/>
  </conditionalFormatting>
  <conditionalFormatting sqref="D87">
    <cfRule type="duplicateValues" dxfId="638" priority="940"/>
  </conditionalFormatting>
  <conditionalFormatting sqref="D87">
    <cfRule type="duplicateValues" dxfId="637" priority="941"/>
  </conditionalFormatting>
  <conditionalFormatting sqref="D97">
    <cfRule type="duplicateValues" dxfId="636" priority="936"/>
  </conditionalFormatting>
  <conditionalFormatting sqref="D97">
    <cfRule type="duplicateValues" dxfId="635" priority="937"/>
  </conditionalFormatting>
  <conditionalFormatting sqref="D105">
    <cfRule type="duplicateValues" dxfId="634" priority="934"/>
  </conditionalFormatting>
  <conditionalFormatting sqref="D105">
    <cfRule type="duplicateValues" dxfId="633" priority="935"/>
  </conditionalFormatting>
  <conditionalFormatting sqref="D115">
    <cfRule type="duplicateValues" dxfId="632" priority="932"/>
  </conditionalFormatting>
  <conditionalFormatting sqref="D115">
    <cfRule type="duplicateValues" dxfId="631" priority="933"/>
  </conditionalFormatting>
  <conditionalFormatting sqref="D120">
    <cfRule type="duplicateValues" dxfId="630" priority="926"/>
  </conditionalFormatting>
  <conditionalFormatting sqref="D120">
    <cfRule type="duplicateValues" dxfId="629" priority="927"/>
  </conditionalFormatting>
  <conditionalFormatting sqref="D70">
    <cfRule type="duplicateValues" dxfId="628" priority="924"/>
  </conditionalFormatting>
  <conditionalFormatting sqref="D70">
    <cfRule type="duplicateValues" dxfId="627" priority="925"/>
  </conditionalFormatting>
  <conditionalFormatting sqref="D68">
    <cfRule type="duplicateValues" dxfId="626" priority="922"/>
  </conditionalFormatting>
  <conditionalFormatting sqref="D68">
    <cfRule type="duplicateValues" dxfId="625" priority="923"/>
  </conditionalFormatting>
  <conditionalFormatting sqref="D68">
    <cfRule type="duplicateValues" dxfId="624" priority="920"/>
  </conditionalFormatting>
  <conditionalFormatting sqref="D68">
    <cfRule type="duplicateValues" dxfId="623" priority="921"/>
  </conditionalFormatting>
  <conditionalFormatting sqref="D68">
    <cfRule type="duplicateValues" dxfId="622" priority="918"/>
  </conditionalFormatting>
  <conditionalFormatting sqref="D68">
    <cfRule type="duplicateValues" dxfId="621" priority="919"/>
  </conditionalFormatting>
  <conditionalFormatting sqref="D68">
    <cfRule type="duplicateValues" dxfId="620" priority="916"/>
  </conditionalFormatting>
  <conditionalFormatting sqref="D68">
    <cfRule type="duplicateValues" dxfId="619" priority="917"/>
  </conditionalFormatting>
  <conditionalFormatting sqref="D68">
    <cfRule type="duplicateValues" dxfId="618" priority="914"/>
  </conditionalFormatting>
  <conditionalFormatting sqref="D68">
    <cfRule type="duplicateValues" dxfId="617" priority="915"/>
  </conditionalFormatting>
  <conditionalFormatting sqref="D68">
    <cfRule type="duplicateValues" dxfId="616" priority="912"/>
  </conditionalFormatting>
  <conditionalFormatting sqref="D68">
    <cfRule type="duplicateValues" dxfId="615" priority="913"/>
  </conditionalFormatting>
  <conditionalFormatting sqref="D28">
    <cfRule type="duplicateValues" dxfId="614" priority="878"/>
  </conditionalFormatting>
  <conditionalFormatting sqref="D28">
    <cfRule type="duplicateValues" dxfId="613" priority="879"/>
  </conditionalFormatting>
  <conditionalFormatting sqref="D28">
    <cfRule type="duplicateValues" dxfId="612" priority="876"/>
  </conditionalFormatting>
  <conditionalFormatting sqref="D28">
    <cfRule type="duplicateValues" dxfId="611" priority="877"/>
  </conditionalFormatting>
  <conditionalFormatting sqref="D125">
    <cfRule type="duplicateValues" dxfId="610" priority="868"/>
  </conditionalFormatting>
  <conditionalFormatting sqref="D125">
    <cfRule type="duplicateValues" dxfId="609" priority="869"/>
  </conditionalFormatting>
  <conditionalFormatting sqref="D126">
    <cfRule type="duplicateValues" dxfId="608" priority="866"/>
  </conditionalFormatting>
  <conditionalFormatting sqref="D126">
    <cfRule type="duplicateValues" dxfId="607" priority="867"/>
  </conditionalFormatting>
  <conditionalFormatting sqref="D127">
    <cfRule type="duplicateValues" dxfId="606" priority="864"/>
  </conditionalFormatting>
  <conditionalFormatting sqref="D127">
    <cfRule type="duplicateValues" dxfId="605" priority="865"/>
  </conditionalFormatting>
  <conditionalFormatting sqref="D128">
    <cfRule type="duplicateValues" dxfId="604" priority="862"/>
  </conditionalFormatting>
  <conditionalFormatting sqref="D128">
    <cfRule type="duplicateValues" dxfId="603" priority="863"/>
  </conditionalFormatting>
  <conditionalFormatting sqref="D129">
    <cfRule type="duplicateValues" dxfId="602" priority="860"/>
  </conditionalFormatting>
  <conditionalFormatting sqref="D129">
    <cfRule type="duplicateValues" dxfId="601" priority="861"/>
  </conditionalFormatting>
  <conditionalFormatting sqref="D130">
    <cfRule type="duplicateValues" dxfId="600" priority="858"/>
  </conditionalFormatting>
  <conditionalFormatting sqref="D130">
    <cfRule type="duplicateValues" dxfId="599" priority="859"/>
  </conditionalFormatting>
  <conditionalFormatting sqref="D132">
    <cfRule type="duplicateValues" dxfId="598" priority="856"/>
  </conditionalFormatting>
  <conditionalFormatting sqref="D132">
    <cfRule type="duplicateValues" dxfId="597" priority="857"/>
  </conditionalFormatting>
  <conditionalFormatting sqref="D133">
    <cfRule type="duplicateValues" dxfId="596" priority="854"/>
  </conditionalFormatting>
  <conditionalFormatting sqref="D133">
    <cfRule type="duplicateValues" dxfId="595" priority="855"/>
  </conditionalFormatting>
  <conditionalFormatting sqref="D131">
    <cfRule type="duplicateValues" dxfId="594" priority="852"/>
  </conditionalFormatting>
  <conditionalFormatting sqref="D131">
    <cfRule type="duplicateValues" dxfId="593" priority="853"/>
  </conditionalFormatting>
  <conditionalFormatting sqref="I304">
    <cfRule type="duplicateValues" dxfId="592" priority="849"/>
  </conditionalFormatting>
  <conditionalFormatting sqref="I304">
    <cfRule type="duplicateValues" dxfId="591" priority="848"/>
  </conditionalFormatting>
  <conditionalFormatting sqref="I304">
    <cfRule type="duplicateValues" dxfId="590" priority="847"/>
  </conditionalFormatting>
  <conditionalFormatting sqref="I304">
    <cfRule type="duplicateValues" dxfId="589" priority="846"/>
  </conditionalFormatting>
  <conditionalFormatting sqref="I304">
    <cfRule type="duplicateValues" dxfId="588" priority="845"/>
  </conditionalFormatting>
  <conditionalFormatting sqref="D370">
    <cfRule type="duplicateValues" dxfId="587" priority="843"/>
  </conditionalFormatting>
  <conditionalFormatting sqref="D370">
    <cfRule type="duplicateValues" dxfId="586" priority="844"/>
  </conditionalFormatting>
  <conditionalFormatting sqref="D329">
    <cfRule type="duplicateValues" dxfId="585" priority="842"/>
  </conditionalFormatting>
  <conditionalFormatting sqref="D329">
    <cfRule type="duplicateValues" dxfId="584" priority="841"/>
  </conditionalFormatting>
  <conditionalFormatting sqref="D329">
    <cfRule type="duplicateValues" dxfId="583" priority="840"/>
  </conditionalFormatting>
  <conditionalFormatting sqref="D329">
    <cfRule type="duplicateValues" dxfId="582" priority="839"/>
  </conditionalFormatting>
  <conditionalFormatting sqref="D329">
    <cfRule type="duplicateValues" dxfId="581" priority="838"/>
  </conditionalFormatting>
  <conditionalFormatting sqref="J352">
    <cfRule type="duplicateValues" dxfId="580" priority="836"/>
  </conditionalFormatting>
  <conditionalFormatting sqref="J352">
    <cfRule type="duplicateValues" dxfId="579" priority="837"/>
  </conditionalFormatting>
  <conditionalFormatting sqref="I14">
    <cfRule type="duplicateValues" dxfId="578" priority="816"/>
  </conditionalFormatting>
  <conditionalFormatting sqref="I14">
    <cfRule type="duplicateValues" dxfId="577" priority="817"/>
  </conditionalFormatting>
  <conditionalFormatting sqref="I14">
    <cfRule type="duplicateValues" dxfId="576" priority="814"/>
  </conditionalFormatting>
  <conditionalFormatting sqref="I14">
    <cfRule type="duplicateValues" dxfId="575" priority="815"/>
  </conditionalFormatting>
  <conditionalFormatting sqref="I14">
    <cfRule type="duplicateValues" dxfId="574" priority="812"/>
  </conditionalFormatting>
  <conditionalFormatting sqref="I14">
    <cfRule type="duplicateValues" dxfId="573" priority="813"/>
  </conditionalFormatting>
  <conditionalFormatting sqref="I14">
    <cfRule type="duplicateValues" dxfId="572" priority="810"/>
  </conditionalFormatting>
  <conditionalFormatting sqref="I14">
    <cfRule type="duplicateValues" dxfId="571" priority="811"/>
  </conditionalFormatting>
  <conditionalFormatting sqref="D326">
    <cfRule type="duplicateValues" dxfId="570" priority="796"/>
  </conditionalFormatting>
  <conditionalFormatting sqref="D326">
    <cfRule type="duplicateValues" dxfId="569" priority="797"/>
  </conditionalFormatting>
  <conditionalFormatting sqref="D326">
    <cfRule type="duplicateValues" dxfId="568" priority="794"/>
  </conditionalFormatting>
  <conditionalFormatting sqref="D326">
    <cfRule type="duplicateValues" dxfId="567" priority="795"/>
  </conditionalFormatting>
  <conditionalFormatting sqref="D326">
    <cfRule type="duplicateValues" dxfId="566" priority="792"/>
  </conditionalFormatting>
  <conditionalFormatting sqref="D326">
    <cfRule type="duplicateValues" dxfId="565" priority="793"/>
  </conditionalFormatting>
  <conditionalFormatting sqref="D326">
    <cfRule type="duplicateValues" dxfId="564" priority="790"/>
  </conditionalFormatting>
  <conditionalFormatting sqref="D326">
    <cfRule type="duplicateValues" dxfId="563" priority="791"/>
  </conditionalFormatting>
  <conditionalFormatting sqref="D326">
    <cfRule type="duplicateValues" dxfId="562" priority="788"/>
  </conditionalFormatting>
  <conditionalFormatting sqref="D326">
    <cfRule type="duplicateValues" dxfId="561" priority="789"/>
  </conditionalFormatting>
  <conditionalFormatting sqref="D326">
    <cfRule type="duplicateValues" dxfId="560" priority="786"/>
  </conditionalFormatting>
  <conditionalFormatting sqref="D326">
    <cfRule type="duplicateValues" dxfId="559" priority="787"/>
  </conditionalFormatting>
  <conditionalFormatting sqref="D326">
    <cfRule type="duplicateValues" dxfId="558" priority="784"/>
  </conditionalFormatting>
  <conditionalFormatting sqref="D326">
    <cfRule type="duplicateValues" dxfId="557" priority="785"/>
  </conditionalFormatting>
  <conditionalFormatting sqref="D29">
    <cfRule type="duplicateValues" dxfId="556" priority="778"/>
  </conditionalFormatting>
  <conditionalFormatting sqref="D29">
    <cfRule type="duplicateValues" dxfId="555" priority="779"/>
  </conditionalFormatting>
  <conditionalFormatting sqref="D29">
    <cfRule type="duplicateValues" dxfId="554" priority="776"/>
  </conditionalFormatting>
  <conditionalFormatting sqref="D29">
    <cfRule type="duplicateValues" dxfId="553" priority="777"/>
  </conditionalFormatting>
  <conditionalFormatting sqref="D222">
    <cfRule type="duplicateValues" dxfId="552" priority="768"/>
  </conditionalFormatting>
  <conditionalFormatting sqref="D222">
    <cfRule type="duplicateValues" dxfId="551" priority="769"/>
  </conditionalFormatting>
  <conditionalFormatting sqref="D154">
    <cfRule type="duplicateValues" dxfId="550" priority="2255"/>
  </conditionalFormatting>
  <conditionalFormatting sqref="D5 D12:D13 D21:D22 D17:D19 D15">
    <cfRule type="duplicateValues" dxfId="549" priority="767"/>
  </conditionalFormatting>
  <conditionalFormatting sqref="D5 D12:D13 D21:D22 D17:D19 D15">
    <cfRule type="duplicateValues" dxfId="548" priority="766"/>
  </conditionalFormatting>
  <conditionalFormatting sqref="D22">
    <cfRule type="duplicateValues" dxfId="547" priority="763"/>
  </conditionalFormatting>
  <conditionalFormatting sqref="D22">
    <cfRule type="duplicateValues" dxfId="546" priority="762"/>
  </conditionalFormatting>
  <conditionalFormatting sqref="D4">
    <cfRule type="duplicateValues" dxfId="545" priority="757"/>
  </conditionalFormatting>
  <conditionalFormatting sqref="D4">
    <cfRule type="duplicateValues" dxfId="544" priority="756"/>
  </conditionalFormatting>
  <conditionalFormatting sqref="D3">
    <cfRule type="duplicateValues" dxfId="543" priority="754"/>
  </conditionalFormatting>
  <conditionalFormatting sqref="D3">
    <cfRule type="duplicateValues" dxfId="542" priority="755"/>
  </conditionalFormatting>
  <conditionalFormatting sqref="D33 D39 D35:D36">
    <cfRule type="duplicateValues" dxfId="541" priority="753"/>
  </conditionalFormatting>
  <conditionalFormatting sqref="D33 D39 D35:D36">
    <cfRule type="duplicateValues" dxfId="540" priority="752"/>
  </conditionalFormatting>
  <conditionalFormatting sqref="D27">
    <cfRule type="duplicateValues" dxfId="539" priority="741"/>
  </conditionalFormatting>
  <conditionalFormatting sqref="D27">
    <cfRule type="duplicateValues" dxfId="538" priority="740"/>
  </conditionalFormatting>
  <conditionalFormatting sqref="D25">
    <cfRule type="duplicateValues" dxfId="537" priority="733"/>
  </conditionalFormatting>
  <conditionalFormatting sqref="D25">
    <cfRule type="duplicateValues" dxfId="536" priority="732"/>
  </conditionalFormatting>
  <conditionalFormatting sqref="D25">
    <cfRule type="duplicateValues" dxfId="535" priority="731"/>
  </conditionalFormatting>
  <conditionalFormatting sqref="D25">
    <cfRule type="duplicateValues" dxfId="534" priority="730"/>
  </conditionalFormatting>
  <conditionalFormatting sqref="J32">
    <cfRule type="duplicateValues" dxfId="533" priority="729"/>
  </conditionalFormatting>
  <conditionalFormatting sqref="J32">
    <cfRule type="duplicateValues" dxfId="532" priority="728"/>
  </conditionalFormatting>
  <conditionalFormatting sqref="D23">
    <cfRule type="duplicateValues" dxfId="531" priority="725"/>
  </conditionalFormatting>
  <conditionalFormatting sqref="D23">
    <cfRule type="duplicateValues" dxfId="530" priority="724"/>
  </conditionalFormatting>
  <conditionalFormatting sqref="D123">
    <cfRule type="duplicateValues" dxfId="529" priority="720"/>
  </conditionalFormatting>
  <conditionalFormatting sqref="D123">
    <cfRule type="duplicateValues" dxfId="528" priority="721"/>
  </conditionalFormatting>
  <conditionalFormatting sqref="D122">
    <cfRule type="duplicateValues" dxfId="527" priority="716"/>
  </conditionalFormatting>
  <conditionalFormatting sqref="D122">
    <cfRule type="duplicateValues" dxfId="526" priority="717"/>
  </conditionalFormatting>
  <conditionalFormatting sqref="D120">
    <cfRule type="duplicateValues" dxfId="525" priority="714"/>
  </conditionalFormatting>
  <conditionalFormatting sqref="D120">
    <cfRule type="duplicateValues" dxfId="524" priority="715"/>
  </conditionalFormatting>
  <conditionalFormatting sqref="D240 D1:D5 D262:D265 D250:D251 D277:D292 D382:D1048576 D355:D371 D351:D353 D45 D47 D49 D51 D67:D78 D12:D13 D222:D233 D218 D220 D254 D256 D259 D242:D244 D214:D216 D206 D203:D204 D208:D211 D105 D120 D109 D118 D99 D93:D94 D111 D103 D114:D116 D122:D192 D97 D333:D349 D317:D331 D294:D315 D80:D91 D33 D39 D43 D35:D36 D41 D25 D27:D29 D21:D23 D17:D19 D15 D194:D201">
    <cfRule type="duplicateValues" dxfId="523" priority="711"/>
  </conditionalFormatting>
  <conditionalFormatting sqref="J216">
    <cfRule type="duplicateValues" dxfId="522" priority="710"/>
  </conditionalFormatting>
  <conditionalFormatting sqref="J216">
    <cfRule type="duplicateValues" dxfId="521" priority="709"/>
  </conditionalFormatting>
  <conditionalFormatting sqref="J216">
    <cfRule type="duplicateValues" dxfId="520" priority="708"/>
  </conditionalFormatting>
  <conditionalFormatting sqref="J223">
    <cfRule type="duplicateValues" dxfId="519" priority="701"/>
  </conditionalFormatting>
  <conditionalFormatting sqref="J223">
    <cfRule type="duplicateValues" dxfId="518" priority="700"/>
  </conditionalFormatting>
  <conditionalFormatting sqref="J223">
    <cfRule type="duplicateValues" dxfId="517" priority="699"/>
  </conditionalFormatting>
  <conditionalFormatting sqref="J217">
    <cfRule type="duplicateValues" dxfId="516" priority="690"/>
  </conditionalFormatting>
  <conditionalFormatting sqref="J217">
    <cfRule type="duplicateValues" dxfId="515" priority="689"/>
  </conditionalFormatting>
  <conditionalFormatting sqref="J217">
    <cfRule type="duplicateValues" dxfId="514" priority="688"/>
  </conditionalFormatting>
  <conditionalFormatting sqref="D239">
    <cfRule type="duplicateValues" dxfId="513" priority="684"/>
  </conditionalFormatting>
  <conditionalFormatting sqref="D239">
    <cfRule type="duplicateValues" dxfId="512" priority="683"/>
  </conditionalFormatting>
  <conditionalFormatting sqref="D239">
    <cfRule type="duplicateValues" dxfId="511" priority="682"/>
  </conditionalFormatting>
  <conditionalFormatting sqref="J218">
    <cfRule type="duplicateValues" dxfId="510" priority="681"/>
  </conditionalFormatting>
  <conditionalFormatting sqref="J218">
    <cfRule type="duplicateValues" dxfId="509" priority="680"/>
  </conditionalFormatting>
  <conditionalFormatting sqref="J218">
    <cfRule type="duplicateValues" dxfId="508" priority="679"/>
  </conditionalFormatting>
  <conditionalFormatting sqref="J226">
    <cfRule type="duplicateValues" dxfId="507" priority="678"/>
  </conditionalFormatting>
  <conditionalFormatting sqref="J226">
    <cfRule type="duplicateValues" dxfId="506" priority="677"/>
  </conditionalFormatting>
  <conditionalFormatting sqref="J226">
    <cfRule type="duplicateValues" dxfId="505" priority="676"/>
  </conditionalFormatting>
  <conditionalFormatting sqref="D249">
    <cfRule type="duplicateValues" dxfId="504" priority="675"/>
  </conditionalFormatting>
  <conditionalFormatting sqref="D249">
    <cfRule type="duplicateValues" dxfId="503" priority="674"/>
  </conditionalFormatting>
  <conditionalFormatting sqref="D249">
    <cfRule type="duplicateValues" dxfId="502" priority="673"/>
  </conditionalFormatting>
  <conditionalFormatting sqref="D248">
    <cfRule type="duplicateValues" dxfId="501" priority="672"/>
  </conditionalFormatting>
  <conditionalFormatting sqref="D248">
    <cfRule type="duplicateValues" dxfId="500" priority="671"/>
  </conditionalFormatting>
  <conditionalFormatting sqref="D248">
    <cfRule type="duplicateValues" dxfId="499" priority="670"/>
  </conditionalFormatting>
  <conditionalFormatting sqref="J244">
    <cfRule type="duplicateValues" dxfId="498" priority="665"/>
  </conditionalFormatting>
  <conditionalFormatting sqref="J244">
    <cfRule type="duplicateValues" dxfId="497" priority="666"/>
  </conditionalFormatting>
  <conditionalFormatting sqref="J244">
    <cfRule type="duplicateValues" dxfId="496" priority="664"/>
  </conditionalFormatting>
  <conditionalFormatting sqref="D268">
    <cfRule type="duplicateValues" dxfId="495" priority="662"/>
  </conditionalFormatting>
  <conditionalFormatting sqref="D268">
    <cfRule type="duplicateValues" dxfId="494" priority="663"/>
  </conditionalFormatting>
  <conditionalFormatting sqref="D268">
    <cfRule type="duplicateValues" dxfId="493" priority="661"/>
  </conditionalFormatting>
  <conditionalFormatting sqref="D267">
    <cfRule type="duplicateValues" dxfId="492" priority="659"/>
  </conditionalFormatting>
  <conditionalFormatting sqref="D267">
    <cfRule type="duplicateValues" dxfId="491" priority="660"/>
  </conditionalFormatting>
  <conditionalFormatting sqref="D267">
    <cfRule type="duplicateValues" dxfId="490" priority="658"/>
  </conditionalFormatting>
  <conditionalFormatting sqref="J246">
    <cfRule type="duplicateValues" dxfId="489" priority="656"/>
  </conditionalFormatting>
  <conditionalFormatting sqref="J246">
    <cfRule type="duplicateValues" dxfId="488" priority="657"/>
  </conditionalFormatting>
  <conditionalFormatting sqref="J246">
    <cfRule type="duplicateValues" dxfId="487" priority="655"/>
  </conditionalFormatting>
  <conditionalFormatting sqref="D270">
    <cfRule type="duplicateValues" dxfId="486" priority="653"/>
  </conditionalFormatting>
  <conditionalFormatting sqref="D270">
    <cfRule type="duplicateValues" dxfId="485" priority="654"/>
  </conditionalFormatting>
  <conditionalFormatting sqref="D270">
    <cfRule type="duplicateValues" dxfId="484" priority="652"/>
  </conditionalFormatting>
  <conditionalFormatting sqref="J249">
    <cfRule type="duplicateValues" dxfId="483" priority="647"/>
  </conditionalFormatting>
  <conditionalFormatting sqref="J249">
    <cfRule type="duplicateValues" dxfId="482" priority="648"/>
  </conditionalFormatting>
  <conditionalFormatting sqref="J249">
    <cfRule type="duplicateValues" dxfId="481" priority="646"/>
  </conditionalFormatting>
  <conditionalFormatting sqref="D271">
    <cfRule type="duplicateValues" dxfId="480" priority="644"/>
  </conditionalFormatting>
  <conditionalFormatting sqref="D271">
    <cfRule type="duplicateValues" dxfId="479" priority="645"/>
  </conditionalFormatting>
  <conditionalFormatting sqref="D271">
    <cfRule type="duplicateValues" dxfId="478" priority="643"/>
  </conditionalFormatting>
  <conditionalFormatting sqref="D272">
    <cfRule type="duplicateValues" dxfId="477" priority="641"/>
  </conditionalFormatting>
  <conditionalFormatting sqref="D272">
    <cfRule type="duplicateValues" dxfId="476" priority="642"/>
  </conditionalFormatting>
  <conditionalFormatting sqref="D272">
    <cfRule type="duplicateValues" dxfId="475" priority="640"/>
  </conditionalFormatting>
  <conditionalFormatting sqref="J250">
    <cfRule type="duplicateValues" dxfId="474" priority="638"/>
  </conditionalFormatting>
  <conditionalFormatting sqref="J250">
    <cfRule type="duplicateValues" dxfId="473" priority="639"/>
  </conditionalFormatting>
  <conditionalFormatting sqref="J250">
    <cfRule type="duplicateValues" dxfId="472" priority="636"/>
  </conditionalFormatting>
  <conditionalFormatting sqref="J250">
    <cfRule type="duplicateValues" dxfId="471" priority="637"/>
  </conditionalFormatting>
  <conditionalFormatting sqref="J250">
    <cfRule type="duplicateValues" dxfId="470" priority="634"/>
  </conditionalFormatting>
  <conditionalFormatting sqref="J250">
    <cfRule type="duplicateValues" dxfId="469" priority="635"/>
  </conditionalFormatting>
  <conditionalFormatting sqref="J250">
    <cfRule type="duplicateValues" dxfId="468" priority="632"/>
  </conditionalFormatting>
  <conditionalFormatting sqref="J250">
    <cfRule type="duplicateValues" dxfId="467" priority="633"/>
  </conditionalFormatting>
  <conditionalFormatting sqref="J250">
    <cfRule type="duplicateValues" dxfId="466" priority="630"/>
  </conditionalFormatting>
  <conditionalFormatting sqref="J250">
    <cfRule type="duplicateValues" dxfId="465" priority="631"/>
  </conditionalFormatting>
  <conditionalFormatting sqref="J250">
    <cfRule type="duplicateValues" dxfId="464" priority="628"/>
  </conditionalFormatting>
  <conditionalFormatting sqref="J250">
    <cfRule type="duplicateValues" dxfId="463" priority="629"/>
  </conditionalFormatting>
  <conditionalFormatting sqref="J250">
    <cfRule type="duplicateValues" dxfId="462" priority="626"/>
  </conditionalFormatting>
  <conditionalFormatting sqref="J250">
    <cfRule type="duplicateValues" dxfId="461" priority="627"/>
  </conditionalFormatting>
  <conditionalFormatting sqref="J250">
    <cfRule type="duplicateValues" dxfId="460" priority="624"/>
  </conditionalFormatting>
  <conditionalFormatting sqref="J250">
    <cfRule type="duplicateValues" dxfId="459" priority="625"/>
  </conditionalFormatting>
  <conditionalFormatting sqref="J250">
    <cfRule type="duplicateValues" dxfId="458" priority="623"/>
  </conditionalFormatting>
  <conditionalFormatting sqref="D274">
    <cfRule type="duplicateValues" dxfId="457" priority="621"/>
  </conditionalFormatting>
  <conditionalFormatting sqref="D274">
    <cfRule type="duplicateValues" dxfId="456" priority="622"/>
  </conditionalFormatting>
  <conditionalFormatting sqref="D274">
    <cfRule type="duplicateValues" dxfId="455" priority="620"/>
  </conditionalFormatting>
  <conditionalFormatting sqref="D273">
    <cfRule type="duplicateValues" dxfId="454" priority="618"/>
  </conditionalFormatting>
  <conditionalFormatting sqref="D273">
    <cfRule type="duplicateValues" dxfId="453" priority="619"/>
  </conditionalFormatting>
  <conditionalFormatting sqref="D273">
    <cfRule type="duplicateValues" dxfId="452" priority="616"/>
  </conditionalFormatting>
  <conditionalFormatting sqref="D273">
    <cfRule type="duplicateValues" dxfId="451" priority="617"/>
  </conditionalFormatting>
  <conditionalFormatting sqref="D273">
    <cfRule type="duplicateValues" dxfId="450" priority="614"/>
  </conditionalFormatting>
  <conditionalFormatting sqref="D273">
    <cfRule type="duplicateValues" dxfId="449" priority="615"/>
  </conditionalFormatting>
  <conditionalFormatting sqref="D273">
    <cfRule type="duplicateValues" dxfId="448" priority="612"/>
  </conditionalFormatting>
  <conditionalFormatting sqref="D273">
    <cfRule type="duplicateValues" dxfId="447" priority="613"/>
  </conditionalFormatting>
  <conditionalFormatting sqref="D273">
    <cfRule type="duplicateValues" dxfId="446" priority="610"/>
  </conditionalFormatting>
  <conditionalFormatting sqref="D273">
    <cfRule type="duplicateValues" dxfId="445" priority="611"/>
  </conditionalFormatting>
  <conditionalFormatting sqref="D273">
    <cfRule type="duplicateValues" dxfId="444" priority="608"/>
  </conditionalFormatting>
  <conditionalFormatting sqref="D273">
    <cfRule type="duplicateValues" dxfId="443" priority="609"/>
  </conditionalFormatting>
  <conditionalFormatting sqref="D273">
    <cfRule type="duplicateValues" dxfId="442" priority="606"/>
  </conditionalFormatting>
  <conditionalFormatting sqref="D273">
    <cfRule type="duplicateValues" dxfId="441" priority="607"/>
  </conditionalFormatting>
  <conditionalFormatting sqref="D273">
    <cfRule type="duplicateValues" dxfId="440" priority="604"/>
  </conditionalFormatting>
  <conditionalFormatting sqref="D273">
    <cfRule type="duplicateValues" dxfId="439" priority="605"/>
  </conditionalFormatting>
  <conditionalFormatting sqref="D273">
    <cfRule type="duplicateValues" dxfId="438" priority="603"/>
  </conditionalFormatting>
  <conditionalFormatting sqref="J252">
    <cfRule type="duplicateValues" dxfId="437" priority="601"/>
  </conditionalFormatting>
  <conditionalFormatting sqref="J252">
    <cfRule type="duplicateValues" dxfId="436" priority="602"/>
  </conditionalFormatting>
  <conditionalFormatting sqref="J252">
    <cfRule type="duplicateValues" dxfId="435" priority="600"/>
  </conditionalFormatting>
  <conditionalFormatting sqref="D276">
    <cfRule type="duplicateValues" dxfId="434" priority="598"/>
  </conditionalFormatting>
  <conditionalFormatting sqref="D276">
    <cfRule type="duplicateValues" dxfId="433" priority="599"/>
  </conditionalFormatting>
  <conditionalFormatting sqref="D276">
    <cfRule type="duplicateValues" dxfId="432" priority="597"/>
  </conditionalFormatting>
  <conditionalFormatting sqref="D275">
    <cfRule type="duplicateValues" dxfId="431" priority="595"/>
  </conditionalFormatting>
  <conditionalFormatting sqref="D275">
    <cfRule type="duplicateValues" dxfId="430" priority="596"/>
  </conditionalFormatting>
  <conditionalFormatting sqref="D275">
    <cfRule type="duplicateValues" dxfId="429" priority="594"/>
  </conditionalFormatting>
  <conditionalFormatting sqref="D374">
    <cfRule type="duplicateValues" dxfId="428" priority="587"/>
  </conditionalFormatting>
  <conditionalFormatting sqref="D374">
    <cfRule type="duplicateValues" dxfId="427" priority="586"/>
  </conditionalFormatting>
  <conditionalFormatting sqref="D374">
    <cfRule type="duplicateValues" dxfId="426" priority="584"/>
  </conditionalFormatting>
  <conditionalFormatting sqref="D374">
    <cfRule type="duplicateValues" dxfId="425" priority="585"/>
  </conditionalFormatting>
  <conditionalFormatting sqref="D374">
    <cfRule type="duplicateValues" dxfId="424" priority="582"/>
  </conditionalFormatting>
  <conditionalFormatting sqref="D374">
    <cfRule type="duplicateValues" dxfId="423" priority="583"/>
  </conditionalFormatting>
  <conditionalFormatting sqref="D374">
    <cfRule type="duplicateValues" dxfId="422" priority="581"/>
  </conditionalFormatting>
  <conditionalFormatting sqref="D374">
    <cfRule type="duplicateValues" dxfId="421" priority="580"/>
  </conditionalFormatting>
  <conditionalFormatting sqref="D374">
    <cfRule type="duplicateValues" dxfId="420" priority="578"/>
  </conditionalFormatting>
  <conditionalFormatting sqref="D374">
    <cfRule type="duplicateValues" dxfId="419" priority="579"/>
  </conditionalFormatting>
  <conditionalFormatting sqref="D374">
    <cfRule type="duplicateValues" dxfId="418" priority="577"/>
  </conditionalFormatting>
  <conditionalFormatting sqref="D376">
    <cfRule type="duplicateValues" dxfId="417" priority="576"/>
  </conditionalFormatting>
  <conditionalFormatting sqref="D376">
    <cfRule type="duplicateValues" dxfId="416" priority="575"/>
  </conditionalFormatting>
  <conditionalFormatting sqref="D376">
    <cfRule type="duplicateValues" dxfId="415" priority="573"/>
  </conditionalFormatting>
  <conditionalFormatting sqref="D376">
    <cfRule type="duplicateValues" dxfId="414" priority="574"/>
  </conditionalFormatting>
  <conditionalFormatting sqref="D376">
    <cfRule type="duplicateValues" dxfId="413" priority="571"/>
  </conditionalFormatting>
  <conditionalFormatting sqref="D376">
    <cfRule type="duplicateValues" dxfId="412" priority="572"/>
  </conditionalFormatting>
  <conditionalFormatting sqref="D376">
    <cfRule type="duplicateValues" dxfId="411" priority="569"/>
  </conditionalFormatting>
  <conditionalFormatting sqref="D376">
    <cfRule type="duplicateValues" dxfId="410" priority="570"/>
  </conditionalFormatting>
  <conditionalFormatting sqref="D376">
    <cfRule type="duplicateValues" dxfId="409" priority="567"/>
  </conditionalFormatting>
  <conditionalFormatting sqref="D376">
    <cfRule type="duplicateValues" dxfId="408" priority="568"/>
  </conditionalFormatting>
  <conditionalFormatting sqref="D376">
    <cfRule type="duplicateValues" dxfId="407" priority="565"/>
  </conditionalFormatting>
  <conditionalFormatting sqref="D376">
    <cfRule type="duplicateValues" dxfId="406" priority="566"/>
  </conditionalFormatting>
  <conditionalFormatting sqref="D376">
    <cfRule type="duplicateValues" dxfId="405" priority="563"/>
  </conditionalFormatting>
  <conditionalFormatting sqref="D376">
    <cfRule type="duplicateValues" dxfId="404" priority="564"/>
  </conditionalFormatting>
  <conditionalFormatting sqref="D376">
    <cfRule type="duplicateValues" dxfId="403" priority="561"/>
  </conditionalFormatting>
  <conditionalFormatting sqref="D376">
    <cfRule type="duplicateValues" dxfId="402" priority="562"/>
  </conditionalFormatting>
  <conditionalFormatting sqref="D376">
    <cfRule type="duplicateValues" dxfId="401" priority="560"/>
  </conditionalFormatting>
  <conditionalFormatting sqref="D378">
    <cfRule type="duplicateValues" dxfId="400" priority="558"/>
  </conditionalFormatting>
  <conditionalFormatting sqref="D378">
    <cfRule type="duplicateValues" dxfId="399" priority="559"/>
  </conditionalFormatting>
  <conditionalFormatting sqref="D378">
    <cfRule type="duplicateValues" dxfId="398" priority="556"/>
  </conditionalFormatting>
  <conditionalFormatting sqref="D378">
    <cfRule type="duplicateValues" dxfId="397" priority="557"/>
  </conditionalFormatting>
  <conditionalFormatting sqref="D378">
    <cfRule type="duplicateValues" dxfId="396" priority="554"/>
  </conditionalFormatting>
  <conditionalFormatting sqref="D378">
    <cfRule type="duplicateValues" dxfId="395" priority="555"/>
  </conditionalFormatting>
  <conditionalFormatting sqref="D378">
    <cfRule type="duplicateValues" dxfId="394" priority="552"/>
  </conditionalFormatting>
  <conditionalFormatting sqref="D378">
    <cfRule type="duplicateValues" dxfId="393" priority="553"/>
  </conditionalFormatting>
  <conditionalFormatting sqref="D378">
    <cfRule type="duplicateValues" dxfId="392" priority="550"/>
  </conditionalFormatting>
  <conditionalFormatting sqref="D378">
    <cfRule type="duplicateValues" dxfId="391" priority="551"/>
  </conditionalFormatting>
  <conditionalFormatting sqref="D378">
    <cfRule type="duplicateValues" dxfId="390" priority="548"/>
  </conditionalFormatting>
  <conditionalFormatting sqref="D378">
    <cfRule type="duplicateValues" dxfId="389" priority="549"/>
  </conditionalFormatting>
  <conditionalFormatting sqref="D378">
    <cfRule type="duplicateValues" dxfId="388" priority="546"/>
  </conditionalFormatting>
  <conditionalFormatting sqref="D378">
    <cfRule type="duplicateValues" dxfId="387" priority="547"/>
  </conditionalFormatting>
  <conditionalFormatting sqref="D378">
    <cfRule type="duplicateValues" dxfId="386" priority="544"/>
  </conditionalFormatting>
  <conditionalFormatting sqref="D378">
    <cfRule type="duplicateValues" dxfId="385" priority="545"/>
  </conditionalFormatting>
  <conditionalFormatting sqref="D378">
    <cfRule type="duplicateValues" dxfId="384" priority="543"/>
  </conditionalFormatting>
  <conditionalFormatting sqref="D380">
    <cfRule type="duplicateValues" dxfId="383" priority="541"/>
  </conditionalFormatting>
  <conditionalFormatting sqref="D380">
    <cfRule type="duplicateValues" dxfId="382" priority="542"/>
  </conditionalFormatting>
  <conditionalFormatting sqref="D380">
    <cfRule type="duplicateValues" dxfId="381" priority="540"/>
  </conditionalFormatting>
  <conditionalFormatting sqref="D381">
    <cfRule type="duplicateValues" dxfId="380" priority="518"/>
  </conditionalFormatting>
  <conditionalFormatting sqref="D381">
    <cfRule type="duplicateValues" dxfId="379" priority="519"/>
  </conditionalFormatting>
  <conditionalFormatting sqref="D381">
    <cfRule type="duplicateValues" dxfId="378" priority="517"/>
  </conditionalFormatting>
  <conditionalFormatting sqref="D350">
    <cfRule type="duplicateValues" dxfId="377" priority="512"/>
  </conditionalFormatting>
  <conditionalFormatting sqref="D350">
    <cfRule type="duplicateValues" dxfId="376" priority="513"/>
  </conditionalFormatting>
  <conditionalFormatting sqref="D350">
    <cfRule type="duplicateValues" dxfId="375" priority="511"/>
  </conditionalFormatting>
  <conditionalFormatting sqref="D44">
    <cfRule type="duplicateValues" dxfId="374" priority="509"/>
  </conditionalFormatting>
  <conditionalFormatting sqref="D44">
    <cfRule type="duplicateValues" dxfId="373" priority="510"/>
  </conditionalFormatting>
  <conditionalFormatting sqref="D44">
    <cfRule type="duplicateValues" dxfId="372" priority="508"/>
  </conditionalFormatting>
  <conditionalFormatting sqref="D48">
    <cfRule type="duplicateValues" dxfId="371" priority="503"/>
  </conditionalFormatting>
  <conditionalFormatting sqref="D48">
    <cfRule type="duplicateValues" dxfId="370" priority="504"/>
  </conditionalFormatting>
  <conditionalFormatting sqref="D48">
    <cfRule type="duplicateValues" dxfId="369" priority="501"/>
  </conditionalFormatting>
  <conditionalFormatting sqref="D48">
    <cfRule type="duplicateValues" dxfId="368" priority="502"/>
  </conditionalFormatting>
  <conditionalFormatting sqref="D48">
    <cfRule type="duplicateValues" dxfId="367" priority="500"/>
  </conditionalFormatting>
  <conditionalFormatting sqref="D57">
    <cfRule type="duplicateValues" dxfId="366" priority="458"/>
  </conditionalFormatting>
  <conditionalFormatting sqref="D57">
    <cfRule type="duplicateValues" dxfId="365" priority="459"/>
  </conditionalFormatting>
  <conditionalFormatting sqref="D57">
    <cfRule type="duplicateValues" dxfId="364" priority="457"/>
  </conditionalFormatting>
  <conditionalFormatting sqref="D59">
    <cfRule type="duplicateValues" dxfId="363" priority="449"/>
  </conditionalFormatting>
  <conditionalFormatting sqref="D59">
    <cfRule type="duplicateValues" dxfId="362" priority="450"/>
  </conditionalFormatting>
  <conditionalFormatting sqref="D59">
    <cfRule type="duplicateValues" dxfId="361" priority="448"/>
  </conditionalFormatting>
  <conditionalFormatting sqref="D61">
    <cfRule type="duplicateValues" dxfId="360" priority="443"/>
  </conditionalFormatting>
  <conditionalFormatting sqref="D61">
    <cfRule type="duplicateValues" dxfId="359" priority="444"/>
  </conditionalFormatting>
  <conditionalFormatting sqref="D61">
    <cfRule type="duplicateValues" dxfId="358" priority="441"/>
  </conditionalFormatting>
  <conditionalFormatting sqref="D61">
    <cfRule type="duplicateValues" dxfId="357" priority="442"/>
  </conditionalFormatting>
  <conditionalFormatting sqref="D61">
    <cfRule type="duplicateValues" dxfId="356" priority="440"/>
  </conditionalFormatting>
  <conditionalFormatting sqref="D66">
    <cfRule type="duplicateValues" dxfId="355" priority="438"/>
  </conditionalFormatting>
  <conditionalFormatting sqref="D66">
    <cfRule type="duplicateValues" dxfId="354" priority="439"/>
  </conditionalFormatting>
  <conditionalFormatting sqref="D66">
    <cfRule type="duplicateValues" dxfId="353" priority="437"/>
  </conditionalFormatting>
  <conditionalFormatting sqref="D7:D9">
    <cfRule type="duplicateValues" dxfId="352" priority="427"/>
  </conditionalFormatting>
  <conditionalFormatting sqref="D7:D9">
    <cfRule type="duplicateValues" dxfId="351" priority="426"/>
  </conditionalFormatting>
  <conditionalFormatting sqref="D7">
    <cfRule type="duplicateValues" dxfId="350" priority="425"/>
  </conditionalFormatting>
  <conditionalFormatting sqref="D7">
    <cfRule type="duplicateValues" dxfId="349" priority="424"/>
  </conditionalFormatting>
  <conditionalFormatting sqref="D7:D9">
    <cfRule type="duplicateValues" dxfId="348" priority="421"/>
  </conditionalFormatting>
  <conditionalFormatting sqref="D217">
    <cfRule type="duplicateValues" dxfId="347" priority="413"/>
  </conditionalFormatting>
  <conditionalFormatting sqref="D217">
    <cfRule type="duplicateValues" dxfId="346" priority="414"/>
  </conditionalFormatting>
  <conditionalFormatting sqref="D217">
    <cfRule type="duplicateValues" dxfId="345" priority="412"/>
  </conditionalFormatting>
  <conditionalFormatting sqref="D219">
    <cfRule type="duplicateValues" dxfId="344" priority="410"/>
  </conditionalFormatting>
  <conditionalFormatting sqref="D219">
    <cfRule type="duplicateValues" dxfId="343" priority="411"/>
  </conditionalFormatting>
  <conditionalFormatting sqref="D219">
    <cfRule type="duplicateValues" dxfId="342" priority="409"/>
  </conditionalFormatting>
  <conditionalFormatting sqref="D253">
    <cfRule type="duplicateValues" dxfId="341" priority="408"/>
  </conditionalFormatting>
  <conditionalFormatting sqref="D253">
    <cfRule type="duplicateValues" dxfId="340" priority="407"/>
  </conditionalFormatting>
  <conditionalFormatting sqref="D253">
    <cfRule type="duplicateValues" dxfId="339" priority="406"/>
  </conditionalFormatting>
  <conditionalFormatting sqref="D253">
    <cfRule type="duplicateValues" dxfId="338" priority="405"/>
  </conditionalFormatting>
  <conditionalFormatting sqref="D253">
    <cfRule type="duplicateValues" dxfId="337" priority="404"/>
  </conditionalFormatting>
  <conditionalFormatting sqref="D255">
    <cfRule type="duplicateValues" dxfId="336" priority="403"/>
  </conditionalFormatting>
  <conditionalFormatting sqref="D255">
    <cfRule type="duplicateValues" dxfId="335" priority="402"/>
  </conditionalFormatting>
  <conditionalFormatting sqref="D255">
    <cfRule type="duplicateValues" dxfId="334" priority="401"/>
  </conditionalFormatting>
  <conditionalFormatting sqref="D260">
    <cfRule type="duplicateValues" dxfId="333" priority="400"/>
  </conditionalFormatting>
  <conditionalFormatting sqref="D260">
    <cfRule type="duplicateValues" dxfId="332" priority="399"/>
  </conditionalFormatting>
  <conditionalFormatting sqref="D260">
    <cfRule type="duplicateValues" dxfId="331" priority="398"/>
  </conditionalFormatting>
  <conditionalFormatting sqref="D258">
    <cfRule type="duplicateValues" dxfId="330" priority="397"/>
  </conditionalFormatting>
  <conditionalFormatting sqref="D258">
    <cfRule type="duplicateValues" dxfId="329" priority="396"/>
  </conditionalFormatting>
  <conditionalFormatting sqref="D258">
    <cfRule type="duplicateValues" dxfId="328" priority="395"/>
  </conditionalFormatting>
  <conditionalFormatting sqref="D234">
    <cfRule type="duplicateValues" dxfId="327" priority="394"/>
  </conditionalFormatting>
  <conditionalFormatting sqref="D234">
    <cfRule type="duplicateValues" dxfId="326" priority="393"/>
  </conditionalFormatting>
  <conditionalFormatting sqref="D234">
    <cfRule type="duplicateValues" dxfId="325" priority="392"/>
  </conditionalFormatting>
  <conditionalFormatting sqref="D236">
    <cfRule type="duplicateValues" dxfId="324" priority="391"/>
  </conditionalFormatting>
  <conditionalFormatting sqref="D236">
    <cfRule type="duplicateValues" dxfId="323" priority="390"/>
  </conditionalFormatting>
  <conditionalFormatting sqref="D236">
    <cfRule type="duplicateValues" dxfId="322" priority="389"/>
  </conditionalFormatting>
  <conditionalFormatting sqref="D252">
    <cfRule type="duplicateValues" dxfId="321" priority="388"/>
  </conditionalFormatting>
  <conditionalFormatting sqref="D252">
    <cfRule type="duplicateValues" dxfId="320" priority="387"/>
  </conditionalFormatting>
  <conditionalFormatting sqref="D252">
    <cfRule type="duplicateValues" dxfId="319" priority="386"/>
  </conditionalFormatting>
  <conditionalFormatting sqref="D257">
    <cfRule type="duplicateValues" dxfId="318" priority="385"/>
  </conditionalFormatting>
  <conditionalFormatting sqref="D257">
    <cfRule type="duplicateValues" dxfId="317" priority="384"/>
  </conditionalFormatting>
  <conditionalFormatting sqref="D257">
    <cfRule type="duplicateValues" dxfId="316" priority="383"/>
  </conditionalFormatting>
  <conditionalFormatting sqref="D241">
    <cfRule type="duplicateValues" dxfId="315" priority="376"/>
  </conditionalFormatting>
  <conditionalFormatting sqref="D241">
    <cfRule type="duplicateValues" dxfId="314" priority="375"/>
  </conditionalFormatting>
  <conditionalFormatting sqref="D241">
    <cfRule type="duplicateValues" dxfId="313" priority="374"/>
  </conditionalFormatting>
  <conditionalFormatting sqref="D247">
    <cfRule type="duplicateValues" dxfId="312" priority="370"/>
  </conditionalFormatting>
  <conditionalFormatting sqref="D247">
    <cfRule type="duplicateValues" dxfId="311" priority="369"/>
  </conditionalFormatting>
  <conditionalFormatting sqref="D247">
    <cfRule type="duplicateValues" dxfId="310" priority="368"/>
  </conditionalFormatting>
  <conditionalFormatting sqref="D245">
    <cfRule type="duplicateValues" dxfId="309" priority="367"/>
  </conditionalFormatting>
  <conditionalFormatting sqref="D245">
    <cfRule type="duplicateValues" dxfId="308" priority="366"/>
  </conditionalFormatting>
  <conditionalFormatting sqref="D245">
    <cfRule type="duplicateValues" dxfId="307" priority="365"/>
  </conditionalFormatting>
  <conditionalFormatting sqref="D246">
    <cfRule type="duplicateValues" dxfId="306" priority="364"/>
  </conditionalFormatting>
  <conditionalFormatting sqref="D246">
    <cfRule type="duplicateValues" dxfId="305" priority="363"/>
  </conditionalFormatting>
  <conditionalFormatting sqref="D246">
    <cfRule type="duplicateValues" dxfId="304" priority="362"/>
  </conditionalFormatting>
  <conditionalFormatting sqref="D213">
    <cfRule type="duplicateValues" dxfId="303" priority="360"/>
  </conditionalFormatting>
  <conditionalFormatting sqref="D213">
    <cfRule type="duplicateValues" dxfId="302" priority="361"/>
  </conditionalFormatting>
  <conditionalFormatting sqref="D213">
    <cfRule type="duplicateValues" dxfId="301" priority="359"/>
  </conditionalFormatting>
  <conditionalFormatting sqref="D205">
    <cfRule type="duplicateValues" dxfId="300" priority="358"/>
  </conditionalFormatting>
  <conditionalFormatting sqref="D205">
    <cfRule type="duplicateValues" dxfId="299" priority="2256"/>
  </conditionalFormatting>
  <conditionalFormatting sqref="D205">
    <cfRule type="duplicateValues" dxfId="298" priority="356"/>
  </conditionalFormatting>
  <conditionalFormatting sqref="D212">
    <cfRule type="duplicateValues" dxfId="297" priority="355"/>
  </conditionalFormatting>
  <conditionalFormatting sqref="D212">
    <cfRule type="duplicateValues" dxfId="296" priority="2257"/>
  </conditionalFormatting>
  <conditionalFormatting sqref="D212">
    <cfRule type="duplicateValues" dxfId="295" priority="353"/>
  </conditionalFormatting>
  <conditionalFormatting sqref="D207">
    <cfRule type="duplicateValues" dxfId="294" priority="344"/>
  </conditionalFormatting>
  <conditionalFormatting sqref="D207">
    <cfRule type="duplicateValues" dxfId="293" priority="345"/>
  </conditionalFormatting>
  <conditionalFormatting sqref="D207">
    <cfRule type="duplicateValues" dxfId="292" priority="346"/>
  </conditionalFormatting>
  <conditionalFormatting sqref="D202">
    <cfRule type="duplicateValues" dxfId="291" priority="339"/>
  </conditionalFormatting>
  <conditionalFormatting sqref="D202">
    <cfRule type="duplicateValues" dxfId="290" priority="340"/>
  </conditionalFormatting>
  <conditionalFormatting sqref="D202">
    <cfRule type="duplicateValues" dxfId="289" priority="338"/>
  </conditionalFormatting>
  <conditionalFormatting sqref="D221">
    <cfRule type="duplicateValues" dxfId="288" priority="336"/>
  </conditionalFormatting>
  <conditionalFormatting sqref="D221">
    <cfRule type="duplicateValues" dxfId="287" priority="337"/>
  </conditionalFormatting>
  <conditionalFormatting sqref="D221">
    <cfRule type="duplicateValues" dxfId="286" priority="335"/>
  </conditionalFormatting>
  <conditionalFormatting sqref="D104">
    <cfRule type="duplicateValues" dxfId="285" priority="330"/>
  </conditionalFormatting>
  <conditionalFormatting sqref="D104">
    <cfRule type="duplicateValues" dxfId="284" priority="331"/>
  </conditionalFormatting>
  <conditionalFormatting sqref="D104">
    <cfRule type="duplicateValues" dxfId="283" priority="329"/>
  </conditionalFormatting>
  <conditionalFormatting sqref="D119">
    <cfRule type="duplicateValues" dxfId="282" priority="327"/>
  </conditionalFormatting>
  <conditionalFormatting sqref="D119">
    <cfRule type="duplicateValues" dxfId="281" priority="328"/>
  </conditionalFormatting>
  <conditionalFormatting sqref="D119">
    <cfRule type="duplicateValues" dxfId="280" priority="326"/>
  </conditionalFormatting>
  <conditionalFormatting sqref="D106">
    <cfRule type="duplicateValues" dxfId="279" priority="321"/>
  </conditionalFormatting>
  <conditionalFormatting sqref="D106">
    <cfRule type="duplicateValues" dxfId="278" priority="322"/>
  </conditionalFormatting>
  <conditionalFormatting sqref="D106">
    <cfRule type="duplicateValues" dxfId="277" priority="320"/>
  </conditionalFormatting>
  <conditionalFormatting sqref="D117">
    <cfRule type="duplicateValues" dxfId="276" priority="318"/>
  </conditionalFormatting>
  <conditionalFormatting sqref="D117">
    <cfRule type="duplicateValues" dxfId="275" priority="319"/>
  </conditionalFormatting>
  <conditionalFormatting sqref="D117">
    <cfRule type="duplicateValues" dxfId="274" priority="317"/>
  </conditionalFormatting>
  <conditionalFormatting sqref="D107">
    <cfRule type="duplicateValues" dxfId="273" priority="309"/>
  </conditionalFormatting>
  <conditionalFormatting sqref="D107">
    <cfRule type="duplicateValues" dxfId="272" priority="310"/>
  </conditionalFormatting>
  <conditionalFormatting sqref="D107">
    <cfRule type="duplicateValues" dxfId="271" priority="308"/>
  </conditionalFormatting>
  <conditionalFormatting sqref="D92">
    <cfRule type="duplicateValues" dxfId="270" priority="303"/>
  </conditionalFormatting>
  <conditionalFormatting sqref="D92">
    <cfRule type="duplicateValues" dxfId="269" priority="304"/>
  </conditionalFormatting>
  <conditionalFormatting sqref="D92">
    <cfRule type="duplicateValues" dxfId="268" priority="302"/>
  </conditionalFormatting>
  <conditionalFormatting sqref="D108">
    <cfRule type="duplicateValues" dxfId="267" priority="300"/>
  </conditionalFormatting>
  <conditionalFormatting sqref="D108">
    <cfRule type="duplicateValues" dxfId="266" priority="301"/>
  </conditionalFormatting>
  <conditionalFormatting sqref="D108">
    <cfRule type="duplicateValues" dxfId="265" priority="299"/>
  </conditionalFormatting>
  <conditionalFormatting sqref="D100">
    <cfRule type="duplicateValues" dxfId="264" priority="294"/>
  </conditionalFormatting>
  <conditionalFormatting sqref="D100">
    <cfRule type="duplicateValues" dxfId="263" priority="295"/>
  </conditionalFormatting>
  <conditionalFormatting sqref="D100">
    <cfRule type="duplicateValues" dxfId="262" priority="293"/>
  </conditionalFormatting>
  <conditionalFormatting sqref="D110">
    <cfRule type="duplicateValues" dxfId="261" priority="291"/>
  </conditionalFormatting>
  <conditionalFormatting sqref="D110">
    <cfRule type="duplicateValues" dxfId="260" priority="292"/>
  </conditionalFormatting>
  <conditionalFormatting sqref="D110">
    <cfRule type="duplicateValues" dxfId="259" priority="290"/>
  </conditionalFormatting>
  <conditionalFormatting sqref="D102">
    <cfRule type="duplicateValues" dxfId="258" priority="285"/>
  </conditionalFormatting>
  <conditionalFormatting sqref="D102">
    <cfRule type="duplicateValues" dxfId="257" priority="286"/>
  </conditionalFormatting>
  <conditionalFormatting sqref="D102">
    <cfRule type="duplicateValues" dxfId="256" priority="284"/>
  </conditionalFormatting>
  <conditionalFormatting sqref="D113">
    <cfRule type="duplicateValues" dxfId="255" priority="276"/>
  </conditionalFormatting>
  <conditionalFormatting sqref="D113">
    <cfRule type="duplicateValues" dxfId="254" priority="277"/>
  </conditionalFormatting>
  <conditionalFormatting sqref="D113">
    <cfRule type="duplicateValues" dxfId="253" priority="274"/>
  </conditionalFormatting>
  <conditionalFormatting sqref="D113">
    <cfRule type="duplicateValues" dxfId="252" priority="275"/>
  </conditionalFormatting>
  <conditionalFormatting sqref="D113">
    <cfRule type="duplicateValues" dxfId="251" priority="273"/>
  </conditionalFormatting>
  <conditionalFormatting sqref="D121">
    <cfRule type="duplicateValues" dxfId="250" priority="271"/>
  </conditionalFormatting>
  <conditionalFormatting sqref="D121">
    <cfRule type="duplicateValues" dxfId="249" priority="272"/>
  </conditionalFormatting>
  <conditionalFormatting sqref="D121">
    <cfRule type="duplicateValues" dxfId="248" priority="270"/>
  </conditionalFormatting>
  <conditionalFormatting sqref="D96">
    <cfRule type="duplicateValues" dxfId="247" priority="265"/>
  </conditionalFormatting>
  <conditionalFormatting sqref="D96">
    <cfRule type="duplicateValues" dxfId="246" priority="266"/>
  </conditionalFormatting>
  <conditionalFormatting sqref="D96">
    <cfRule type="duplicateValues" dxfId="245" priority="264"/>
  </conditionalFormatting>
  <conditionalFormatting sqref="D98">
    <cfRule type="duplicateValues" dxfId="244" priority="262"/>
  </conditionalFormatting>
  <conditionalFormatting sqref="D98">
    <cfRule type="duplicateValues" dxfId="243" priority="263"/>
  </conditionalFormatting>
  <conditionalFormatting sqref="D98">
    <cfRule type="duplicateValues" dxfId="242" priority="261"/>
  </conditionalFormatting>
  <conditionalFormatting sqref="D95">
    <cfRule type="duplicateValues" dxfId="241" priority="256"/>
  </conditionalFormatting>
  <conditionalFormatting sqref="D95">
    <cfRule type="duplicateValues" dxfId="240" priority="257"/>
  </conditionalFormatting>
  <conditionalFormatting sqref="D95">
    <cfRule type="duplicateValues" dxfId="239" priority="255"/>
  </conditionalFormatting>
  <conditionalFormatting sqref="D101">
    <cfRule type="duplicateValues" dxfId="238" priority="253"/>
  </conditionalFormatting>
  <conditionalFormatting sqref="D101">
    <cfRule type="duplicateValues" dxfId="237" priority="254"/>
  </conditionalFormatting>
  <conditionalFormatting sqref="D101">
    <cfRule type="duplicateValues" dxfId="236" priority="252"/>
  </conditionalFormatting>
  <conditionalFormatting sqref="D332">
    <cfRule type="duplicateValues" dxfId="235" priority="247"/>
  </conditionalFormatting>
  <conditionalFormatting sqref="D332">
    <cfRule type="duplicateValues" dxfId="234" priority="248"/>
  </conditionalFormatting>
  <conditionalFormatting sqref="D332">
    <cfRule type="duplicateValues" dxfId="233" priority="246"/>
  </conditionalFormatting>
  <conditionalFormatting sqref="D354">
    <cfRule type="duplicateValues" dxfId="232" priority="242"/>
  </conditionalFormatting>
  <conditionalFormatting sqref="D354">
    <cfRule type="duplicateValues" dxfId="231" priority="241"/>
  </conditionalFormatting>
  <conditionalFormatting sqref="D354">
    <cfRule type="duplicateValues" dxfId="230" priority="240"/>
  </conditionalFormatting>
  <conditionalFormatting sqref="D354">
    <cfRule type="duplicateValues" dxfId="229" priority="239"/>
  </conditionalFormatting>
  <conditionalFormatting sqref="D354">
    <cfRule type="duplicateValues" dxfId="228" priority="238"/>
  </conditionalFormatting>
  <conditionalFormatting sqref="D354">
    <cfRule type="duplicateValues" dxfId="227" priority="237"/>
  </conditionalFormatting>
  <conditionalFormatting sqref="D372">
    <cfRule type="duplicateValues" dxfId="226" priority="236"/>
  </conditionalFormatting>
  <conditionalFormatting sqref="D372">
    <cfRule type="duplicateValues" dxfId="225" priority="235"/>
  </conditionalFormatting>
  <conditionalFormatting sqref="D372">
    <cfRule type="duplicateValues" dxfId="224" priority="233"/>
  </conditionalFormatting>
  <conditionalFormatting sqref="D372">
    <cfRule type="duplicateValues" dxfId="223" priority="234"/>
  </conditionalFormatting>
  <conditionalFormatting sqref="D372">
    <cfRule type="duplicateValues" dxfId="222" priority="231"/>
  </conditionalFormatting>
  <conditionalFormatting sqref="D372">
    <cfRule type="duplicateValues" dxfId="221" priority="232"/>
  </conditionalFormatting>
  <conditionalFormatting sqref="D372">
    <cfRule type="duplicateValues" dxfId="220" priority="230"/>
  </conditionalFormatting>
  <conditionalFormatting sqref="D372">
    <cfRule type="duplicateValues" dxfId="219" priority="229"/>
  </conditionalFormatting>
  <conditionalFormatting sqref="D372">
    <cfRule type="duplicateValues" dxfId="218" priority="227"/>
  </conditionalFormatting>
  <conditionalFormatting sqref="D372">
    <cfRule type="duplicateValues" dxfId="217" priority="228"/>
  </conditionalFormatting>
  <conditionalFormatting sqref="D372">
    <cfRule type="duplicateValues" dxfId="216" priority="226"/>
  </conditionalFormatting>
  <conditionalFormatting sqref="D266">
    <cfRule type="duplicateValues" dxfId="215" priority="218"/>
  </conditionalFormatting>
  <conditionalFormatting sqref="D266">
    <cfRule type="duplicateValues" dxfId="214" priority="219"/>
  </conditionalFormatting>
  <conditionalFormatting sqref="D266">
    <cfRule type="duplicateValues" dxfId="213" priority="217"/>
  </conditionalFormatting>
  <conditionalFormatting sqref="D316">
    <cfRule type="duplicateValues" dxfId="212" priority="212"/>
  </conditionalFormatting>
  <conditionalFormatting sqref="D316">
    <cfRule type="duplicateValues" dxfId="211" priority="213"/>
  </conditionalFormatting>
  <conditionalFormatting sqref="D316">
    <cfRule type="duplicateValues" dxfId="210" priority="211"/>
  </conditionalFormatting>
  <conditionalFormatting sqref="D293">
    <cfRule type="duplicateValues" dxfId="209" priority="209"/>
  </conditionalFormatting>
  <conditionalFormatting sqref="D293">
    <cfRule type="duplicateValues" dxfId="208" priority="210"/>
  </conditionalFormatting>
  <conditionalFormatting sqref="D293">
    <cfRule type="duplicateValues" dxfId="207" priority="208"/>
  </conditionalFormatting>
  <conditionalFormatting sqref="D53">
    <cfRule type="duplicateValues" dxfId="206" priority="200"/>
  </conditionalFormatting>
  <conditionalFormatting sqref="D53">
    <cfRule type="duplicateValues" dxfId="205" priority="201"/>
  </conditionalFormatting>
  <conditionalFormatting sqref="D53">
    <cfRule type="duplicateValues" dxfId="204" priority="199"/>
  </conditionalFormatting>
  <conditionalFormatting sqref="D79">
    <cfRule type="duplicateValues" dxfId="203" priority="194"/>
  </conditionalFormatting>
  <conditionalFormatting sqref="D79">
    <cfRule type="duplicateValues" dxfId="202" priority="195"/>
  </conditionalFormatting>
  <conditionalFormatting sqref="D79">
    <cfRule type="duplicateValues" dxfId="201" priority="193"/>
  </conditionalFormatting>
  <conditionalFormatting sqref="D112">
    <cfRule type="duplicateValues" dxfId="200" priority="191"/>
  </conditionalFormatting>
  <conditionalFormatting sqref="D112">
    <cfRule type="duplicateValues" dxfId="199" priority="192"/>
  </conditionalFormatting>
  <conditionalFormatting sqref="D112">
    <cfRule type="duplicateValues" dxfId="198" priority="190"/>
  </conditionalFormatting>
  <conditionalFormatting sqref="D54">
    <cfRule type="duplicateValues" dxfId="197" priority="185"/>
  </conditionalFormatting>
  <conditionalFormatting sqref="D54">
    <cfRule type="duplicateValues" dxfId="196" priority="186"/>
  </conditionalFormatting>
  <conditionalFormatting sqref="D54">
    <cfRule type="duplicateValues" dxfId="195" priority="184"/>
  </conditionalFormatting>
  <conditionalFormatting sqref="D237">
    <cfRule type="duplicateValues" dxfId="194" priority="180"/>
  </conditionalFormatting>
  <conditionalFormatting sqref="D237">
    <cfRule type="duplicateValues" dxfId="193" priority="179"/>
  </conditionalFormatting>
  <conditionalFormatting sqref="D237">
    <cfRule type="duplicateValues" dxfId="192" priority="178"/>
  </conditionalFormatting>
  <conditionalFormatting sqref="D238">
    <cfRule type="duplicateValues" dxfId="191" priority="177"/>
  </conditionalFormatting>
  <conditionalFormatting sqref="D238">
    <cfRule type="duplicateValues" dxfId="190" priority="176"/>
  </conditionalFormatting>
  <conditionalFormatting sqref="D238">
    <cfRule type="duplicateValues" dxfId="189" priority="175"/>
  </conditionalFormatting>
  <conditionalFormatting sqref="D373">
    <cfRule type="duplicateValues" dxfId="188" priority="174"/>
  </conditionalFormatting>
  <conditionalFormatting sqref="D373">
    <cfRule type="duplicateValues" dxfId="187" priority="173"/>
  </conditionalFormatting>
  <conditionalFormatting sqref="D373">
    <cfRule type="duplicateValues" dxfId="186" priority="171"/>
  </conditionalFormatting>
  <conditionalFormatting sqref="D373">
    <cfRule type="duplicateValues" dxfId="185" priority="172"/>
  </conditionalFormatting>
  <conditionalFormatting sqref="D373">
    <cfRule type="duplicateValues" dxfId="184" priority="169"/>
  </conditionalFormatting>
  <conditionalFormatting sqref="D373">
    <cfRule type="duplicateValues" dxfId="183" priority="170"/>
  </conditionalFormatting>
  <conditionalFormatting sqref="D373">
    <cfRule type="duplicateValues" dxfId="182" priority="168"/>
  </conditionalFormatting>
  <conditionalFormatting sqref="D373">
    <cfRule type="duplicateValues" dxfId="181" priority="167"/>
  </conditionalFormatting>
  <conditionalFormatting sqref="D373">
    <cfRule type="duplicateValues" dxfId="180" priority="165"/>
  </conditionalFormatting>
  <conditionalFormatting sqref="D373">
    <cfRule type="duplicateValues" dxfId="179" priority="166"/>
  </conditionalFormatting>
  <conditionalFormatting sqref="D373">
    <cfRule type="duplicateValues" dxfId="178" priority="164"/>
  </conditionalFormatting>
  <conditionalFormatting sqref="D375">
    <cfRule type="duplicateValues" dxfId="177" priority="162"/>
  </conditionalFormatting>
  <conditionalFormatting sqref="D375">
    <cfRule type="duplicateValues" dxfId="176" priority="163"/>
  </conditionalFormatting>
  <conditionalFormatting sqref="D375">
    <cfRule type="duplicateValues" dxfId="175" priority="160"/>
  </conditionalFormatting>
  <conditionalFormatting sqref="D375">
    <cfRule type="duplicateValues" dxfId="174" priority="161"/>
  </conditionalFormatting>
  <conditionalFormatting sqref="D375">
    <cfRule type="duplicateValues" dxfId="173" priority="158"/>
  </conditionalFormatting>
  <conditionalFormatting sqref="D375">
    <cfRule type="duplicateValues" dxfId="172" priority="159"/>
  </conditionalFormatting>
  <conditionalFormatting sqref="D375">
    <cfRule type="duplicateValues" dxfId="171" priority="156"/>
  </conditionalFormatting>
  <conditionalFormatting sqref="D375">
    <cfRule type="duplicateValues" dxfId="170" priority="157"/>
  </conditionalFormatting>
  <conditionalFormatting sqref="D375">
    <cfRule type="duplicateValues" dxfId="169" priority="154"/>
  </conditionalFormatting>
  <conditionalFormatting sqref="D375">
    <cfRule type="duplicateValues" dxfId="168" priority="155"/>
  </conditionalFormatting>
  <conditionalFormatting sqref="D375">
    <cfRule type="duplicateValues" dxfId="167" priority="152"/>
  </conditionalFormatting>
  <conditionalFormatting sqref="D375">
    <cfRule type="duplicateValues" dxfId="166" priority="153"/>
  </conditionalFormatting>
  <conditionalFormatting sqref="D375">
    <cfRule type="duplicateValues" dxfId="165" priority="150"/>
  </conditionalFormatting>
  <conditionalFormatting sqref="D375">
    <cfRule type="duplicateValues" dxfId="164" priority="151"/>
  </conditionalFormatting>
  <conditionalFormatting sqref="D375">
    <cfRule type="duplicateValues" dxfId="163" priority="148"/>
  </conditionalFormatting>
  <conditionalFormatting sqref="D375">
    <cfRule type="duplicateValues" dxfId="162" priority="149"/>
  </conditionalFormatting>
  <conditionalFormatting sqref="D375">
    <cfRule type="duplicateValues" dxfId="161" priority="147"/>
  </conditionalFormatting>
  <conditionalFormatting sqref="D377">
    <cfRule type="duplicateValues" dxfId="160" priority="145"/>
  </conditionalFormatting>
  <conditionalFormatting sqref="D377">
    <cfRule type="duplicateValues" dxfId="159" priority="146"/>
  </conditionalFormatting>
  <conditionalFormatting sqref="D377">
    <cfRule type="duplicateValues" dxfId="158" priority="144"/>
  </conditionalFormatting>
  <conditionalFormatting sqref="D379">
    <cfRule type="duplicateValues" dxfId="157" priority="142"/>
  </conditionalFormatting>
  <conditionalFormatting sqref="D379">
    <cfRule type="duplicateValues" dxfId="156" priority="143"/>
  </conditionalFormatting>
  <conditionalFormatting sqref="D379">
    <cfRule type="duplicateValues" dxfId="155" priority="141"/>
  </conditionalFormatting>
  <conditionalFormatting sqref="D9">
    <cfRule type="duplicateValues" dxfId="154" priority="140"/>
  </conditionalFormatting>
  <conditionalFormatting sqref="D9">
    <cfRule type="duplicateValues" dxfId="153" priority="139"/>
  </conditionalFormatting>
  <conditionalFormatting sqref="D9">
    <cfRule type="duplicateValues" dxfId="152" priority="138"/>
  </conditionalFormatting>
  <conditionalFormatting sqref="J11">
    <cfRule type="duplicateValues" dxfId="151" priority="134"/>
  </conditionalFormatting>
  <conditionalFormatting sqref="J11">
    <cfRule type="duplicateValues" dxfId="150" priority="133"/>
  </conditionalFormatting>
  <conditionalFormatting sqref="J11">
    <cfRule type="duplicateValues" dxfId="149" priority="132"/>
  </conditionalFormatting>
  <conditionalFormatting sqref="D11">
    <cfRule type="duplicateValues" dxfId="148" priority="131"/>
  </conditionalFormatting>
  <conditionalFormatting sqref="D11">
    <cfRule type="duplicateValues" dxfId="147" priority="130"/>
  </conditionalFormatting>
  <conditionalFormatting sqref="D11">
    <cfRule type="duplicateValues" dxfId="146" priority="129"/>
  </conditionalFormatting>
  <conditionalFormatting sqref="D11">
    <cfRule type="duplicateValues" dxfId="145" priority="128"/>
  </conditionalFormatting>
  <conditionalFormatting sqref="D11">
    <cfRule type="duplicateValues" dxfId="144" priority="127"/>
  </conditionalFormatting>
  <conditionalFormatting sqref="D11">
    <cfRule type="duplicateValues" dxfId="143" priority="126"/>
  </conditionalFormatting>
  <conditionalFormatting sqref="D10">
    <cfRule type="duplicateValues" dxfId="142" priority="125"/>
  </conditionalFormatting>
  <conditionalFormatting sqref="D10">
    <cfRule type="duplicateValues" dxfId="141" priority="124"/>
  </conditionalFormatting>
  <conditionalFormatting sqref="D10">
    <cfRule type="duplicateValues" dxfId="140" priority="123"/>
  </conditionalFormatting>
  <conditionalFormatting sqref="D6">
    <cfRule type="duplicateValues" dxfId="139" priority="122"/>
  </conditionalFormatting>
  <conditionalFormatting sqref="D6">
    <cfRule type="duplicateValues" dxfId="138" priority="121"/>
  </conditionalFormatting>
  <conditionalFormatting sqref="D6">
    <cfRule type="duplicateValues" dxfId="137" priority="120"/>
  </conditionalFormatting>
  <conditionalFormatting sqref="D6">
    <cfRule type="duplicateValues" dxfId="136" priority="119"/>
  </conditionalFormatting>
  <conditionalFormatting sqref="D6">
    <cfRule type="duplicateValues" dxfId="135" priority="118"/>
  </conditionalFormatting>
  <conditionalFormatting sqref="D30">
    <cfRule type="duplicateValues" dxfId="134" priority="117"/>
  </conditionalFormatting>
  <conditionalFormatting sqref="D30">
    <cfRule type="duplicateValues" dxfId="133" priority="116"/>
  </conditionalFormatting>
  <conditionalFormatting sqref="D30">
    <cfRule type="duplicateValues" dxfId="132" priority="115"/>
  </conditionalFormatting>
  <conditionalFormatting sqref="D38">
    <cfRule type="duplicateValues" dxfId="131" priority="114"/>
  </conditionalFormatting>
  <conditionalFormatting sqref="D38">
    <cfRule type="duplicateValues" dxfId="130" priority="113"/>
  </conditionalFormatting>
  <conditionalFormatting sqref="D38">
    <cfRule type="duplicateValues" dxfId="129" priority="112"/>
  </conditionalFormatting>
  <conditionalFormatting sqref="D56">
    <cfRule type="duplicateValues" dxfId="128" priority="109"/>
  </conditionalFormatting>
  <conditionalFormatting sqref="D56">
    <cfRule type="duplicateValues" dxfId="127" priority="110"/>
  </conditionalFormatting>
  <conditionalFormatting sqref="D56">
    <cfRule type="duplicateValues" dxfId="126" priority="111"/>
  </conditionalFormatting>
  <conditionalFormatting sqref="D3:D13 D56:D57 D61 D47:D49 D59 D53:D54 D38:D39 D51 D43:D45 D35:D36 D41 D25 D33 D27:D30 D21:D23 D17:D19 D15 D66:D146">
    <cfRule type="duplicateValues" dxfId="125" priority="108"/>
  </conditionalFormatting>
  <conditionalFormatting sqref="D261">
    <cfRule type="duplicateValues" dxfId="124" priority="106"/>
  </conditionalFormatting>
  <conditionalFormatting sqref="D261">
    <cfRule type="duplicateValues" dxfId="123" priority="107"/>
  </conditionalFormatting>
  <conditionalFormatting sqref="D261">
    <cfRule type="duplicateValues" dxfId="122" priority="105"/>
  </conditionalFormatting>
  <conditionalFormatting sqref="D271">
    <cfRule type="duplicateValues" dxfId="121" priority="103"/>
  </conditionalFormatting>
  <conditionalFormatting sqref="D271">
    <cfRule type="duplicateValues" dxfId="120" priority="104"/>
  </conditionalFormatting>
  <conditionalFormatting sqref="D271">
    <cfRule type="duplicateValues" dxfId="119" priority="102"/>
  </conditionalFormatting>
  <conditionalFormatting sqref="D270">
    <cfRule type="duplicateValues" dxfId="118" priority="100"/>
  </conditionalFormatting>
  <conditionalFormatting sqref="D270">
    <cfRule type="duplicateValues" dxfId="117" priority="101"/>
  </conditionalFormatting>
  <conditionalFormatting sqref="D270">
    <cfRule type="duplicateValues" dxfId="116" priority="99"/>
  </conditionalFormatting>
  <conditionalFormatting sqref="D55">
    <cfRule type="duplicateValues" dxfId="115" priority="97"/>
  </conditionalFormatting>
  <conditionalFormatting sqref="D55">
    <cfRule type="duplicateValues" dxfId="114" priority="98"/>
  </conditionalFormatting>
  <conditionalFormatting sqref="D55">
    <cfRule type="duplicateValues" dxfId="113" priority="96"/>
  </conditionalFormatting>
  <conditionalFormatting sqref="D55">
    <cfRule type="duplicateValues" dxfId="112" priority="95"/>
  </conditionalFormatting>
  <conditionalFormatting sqref="D62">
    <cfRule type="duplicateValues" dxfId="111" priority="93"/>
  </conditionalFormatting>
  <conditionalFormatting sqref="D62">
    <cfRule type="duplicateValues" dxfId="110" priority="94"/>
  </conditionalFormatting>
  <conditionalFormatting sqref="D62">
    <cfRule type="duplicateValues" dxfId="109" priority="92"/>
  </conditionalFormatting>
  <conditionalFormatting sqref="D62">
    <cfRule type="duplicateValues" dxfId="108" priority="91"/>
  </conditionalFormatting>
  <conditionalFormatting sqref="D60">
    <cfRule type="duplicateValues" dxfId="107" priority="89"/>
  </conditionalFormatting>
  <conditionalFormatting sqref="D60">
    <cfRule type="duplicateValues" dxfId="106" priority="90"/>
  </conditionalFormatting>
  <conditionalFormatting sqref="D60">
    <cfRule type="duplicateValues" dxfId="105" priority="88"/>
  </conditionalFormatting>
  <conditionalFormatting sqref="D60">
    <cfRule type="duplicateValues" dxfId="104" priority="87"/>
  </conditionalFormatting>
  <conditionalFormatting sqref="D46">
    <cfRule type="duplicateValues" dxfId="103" priority="85"/>
  </conditionalFormatting>
  <conditionalFormatting sqref="D46">
    <cfRule type="duplicateValues" dxfId="102" priority="86"/>
  </conditionalFormatting>
  <conditionalFormatting sqref="D46">
    <cfRule type="duplicateValues" dxfId="101" priority="83"/>
  </conditionalFormatting>
  <conditionalFormatting sqref="D46">
    <cfRule type="duplicateValues" dxfId="100" priority="84"/>
  </conditionalFormatting>
  <conditionalFormatting sqref="D46">
    <cfRule type="duplicateValues" dxfId="99" priority="82"/>
  </conditionalFormatting>
  <conditionalFormatting sqref="D46">
    <cfRule type="duplicateValues" dxfId="98" priority="81"/>
  </conditionalFormatting>
  <conditionalFormatting sqref="D58">
    <cfRule type="duplicateValues" dxfId="97" priority="79"/>
  </conditionalFormatting>
  <conditionalFormatting sqref="D58">
    <cfRule type="duplicateValues" dxfId="96" priority="80"/>
  </conditionalFormatting>
  <conditionalFormatting sqref="D58">
    <cfRule type="duplicateValues" dxfId="95" priority="78"/>
  </conditionalFormatting>
  <conditionalFormatting sqref="D58">
    <cfRule type="duplicateValues" dxfId="94" priority="77"/>
  </conditionalFormatting>
  <conditionalFormatting sqref="D52">
    <cfRule type="duplicateValues" dxfId="93" priority="75"/>
  </conditionalFormatting>
  <conditionalFormatting sqref="D52">
    <cfRule type="duplicateValues" dxfId="92" priority="76"/>
  </conditionalFormatting>
  <conditionalFormatting sqref="D52">
    <cfRule type="duplicateValues" dxfId="91" priority="74"/>
  </conditionalFormatting>
  <conditionalFormatting sqref="D52">
    <cfRule type="duplicateValues" dxfId="90" priority="73"/>
  </conditionalFormatting>
  <conditionalFormatting sqref="D37">
    <cfRule type="duplicateValues" dxfId="89" priority="71"/>
  </conditionalFormatting>
  <conditionalFormatting sqref="D37">
    <cfRule type="duplicateValues" dxfId="88" priority="72"/>
  </conditionalFormatting>
  <conditionalFormatting sqref="D37">
    <cfRule type="duplicateValues" dxfId="87" priority="70"/>
  </conditionalFormatting>
  <conditionalFormatting sqref="D37">
    <cfRule type="duplicateValues" dxfId="86" priority="69"/>
  </conditionalFormatting>
  <conditionalFormatting sqref="D50">
    <cfRule type="duplicateValues" dxfId="85" priority="67"/>
  </conditionalFormatting>
  <conditionalFormatting sqref="D50">
    <cfRule type="duplicateValues" dxfId="84" priority="68"/>
  </conditionalFormatting>
  <conditionalFormatting sqref="D50">
    <cfRule type="duplicateValues" dxfId="83" priority="66"/>
  </conditionalFormatting>
  <conditionalFormatting sqref="D50">
    <cfRule type="duplicateValues" dxfId="82" priority="65"/>
  </conditionalFormatting>
  <conditionalFormatting sqref="D42">
    <cfRule type="duplicateValues" dxfId="81" priority="63"/>
  </conditionalFormatting>
  <conditionalFormatting sqref="D42">
    <cfRule type="duplicateValues" dxfId="80" priority="64"/>
  </conditionalFormatting>
  <conditionalFormatting sqref="D42">
    <cfRule type="duplicateValues" dxfId="79" priority="62"/>
  </conditionalFormatting>
  <conditionalFormatting sqref="D42">
    <cfRule type="duplicateValues" dxfId="78" priority="61"/>
  </conditionalFormatting>
  <conditionalFormatting sqref="D34">
    <cfRule type="duplicateValues" dxfId="77" priority="59"/>
  </conditionalFormatting>
  <conditionalFormatting sqref="D34">
    <cfRule type="duplicateValues" dxfId="76" priority="60"/>
  </conditionalFormatting>
  <conditionalFormatting sqref="D34">
    <cfRule type="duplicateValues" dxfId="75" priority="58"/>
  </conditionalFormatting>
  <conditionalFormatting sqref="D34">
    <cfRule type="duplicateValues" dxfId="74" priority="57"/>
  </conditionalFormatting>
  <conditionalFormatting sqref="D40">
    <cfRule type="duplicateValues" dxfId="73" priority="55"/>
  </conditionalFormatting>
  <conditionalFormatting sqref="D40">
    <cfRule type="duplicateValues" dxfId="72" priority="56"/>
  </conditionalFormatting>
  <conditionalFormatting sqref="D40">
    <cfRule type="duplicateValues" dxfId="71" priority="54"/>
  </conditionalFormatting>
  <conditionalFormatting sqref="D40">
    <cfRule type="duplicateValues" dxfId="70" priority="53"/>
  </conditionalFormatting>
  <conditionalFormatting sqref="D24">
    <cfRule type="duplicateValues" dxfId="69" priority="51"/>
  </conditionalFormatting>
  <conditionalFormatting sqref="D24">
    <cfRule type="duplicateValues" dxfId="68" priority="52"/>
  </conditionalFormatting>
  <conditionalFormatting sqref="D24">
    <cfRule type="duplicateValues" dxfId="67" priority="50"/>
  </conditionalFormatting>
  <conditionalFormatting sqref="D24">
    <cfRule type="duplicateValues" dxfId="66" priority="49"/>
  </conditionalFormatting>
  <conditionalFormatting sqref="D31">
    <cfRule type="duplicateValues" dxfId="65" priority="47"/>
  </conditionalFormatting>
  <conditionalFormatting sqref="D31">
    <cfRule type="duplicateValues" dxfId="64" priority="48"/>
  </conditionalFormatting>
  <conditionalFormatting sqref="D31">
    <cfRule type="duplicateValues" dxfId="63" priority="46"/>
  </conditionalFormatting>
  <conditionalFormatting sqref="D31">
    <cfRule type="duplicateValues" dxfId="62" priority="45"/>
  </conditionalFormatting>
  <conditionalFormatting sqref="D26">
    <cfRule type="duplicateValues" dxfId="61" priority="43"/>
  </conditionalFormatting>
  <conditionalFormatting sqref="D26">
    <cfRule type="duplicateValues" dxfId="60" priority="44"/>
  </conditionalFormatting>
  <conditionalFormatting sqref="D26">
    <cfRule type="duplicateValues" dxfId="59" priority="42"/>
  </conditionalFormatting>
  <conditionalFormatting sqref="D26">
    <cfRule type="duplicateValues" dxfId="58" priority="41"/>
  </conditionalFormatting>
  <conditionalFormatting sqref="D20">
    <cfRule type="duplicateValues" dxfId="57" priority="39"/>
  </conditionalFormatting>
  <conditionalFormatting sqref="D20">
    <cfRule type="duplicateValues" dxfId="56" priority="40"/>
  </conditionalFormatting>
  <conditionalFormatting sqref="D20">
    <cfRule type="duplicateValues" dxfId="55" priority="38"/>
  </conditionalFormatting>
  <conditionalFormatting sqref="D20">
    <cfRule type="duplicateValues" dxfId="54" priority="37"/>
  </conditionalFormatting>
  <conditionalFormatting sqref="D32">
    <cfRule type="duplicateValues" dxfId="53" priority="35"/>
  </conditionalFormatting>
  <conditionalFormatting sqref="D32">
    <cfRule type="duplicateValues" dxfId="52" priority="36"/>
  </conditionalFormatting>
  <conditionalFormatting sqref="D32">
    <cfRule type="duplicateValues" dxfId="51" priority="34"/>
  </conditionalFormatting>
  <conditionalFormatting sqref="D32">
    <cfRule type="duplicateValues" dxfId="50" priority="33"/>
  </conditionalFormatting>
  <conditionalFormatting sqref="D16">
    <cfRule type="duplicateValues" dxfId="49" priority="31"/>
  </conditionalFormatting>
  <conditionalFormatting sqref="D16">
    <cfRule type="duplicateValues" dxfId="48" priority="32"/>
  </conditionalFormatting>
  <conditionalFormatting sqref="D16">
    <cfRule type="duplicateValues" dxfId="47" priority="30"/>
  </conditionalFormatting>
  <conditionalFormatting sqref="D16">
    <cfRule type="duplicateValues" dxfId="46" priority="29"/>
  </conditionalFormatting>
  <conditionalFormatting sqref="D14">
    <cfRule type="duplicateValues" dxfId="45" priority="27"/>
  </conditionalFormatting>
  <conditionalFormatting sqref="D14">
    <cfRule type="duplicateValues" dxfId="44" priority="28"/>
  </conditionalFormatting>
  <conditionalFormatting sqref="D14">
    <cfRule type="duplicateValues" dxfId="43" priority="26"/>
  </conditionalFormatting>
  <conditionalFormatting sqref="D14">
    <cfRule type="duplicateValues" dxfId="42" priority="25"/>
  </conditionalFormatting>
  <conditionalFormatting sqref="J64">
    <cfRule type="duplicateValues" dxfId="41" priority="23"/>
  </conditionalFormatting>
  <conditionalFormatting sqref="J64">
    <cfRule type="duplicateValues" dxfId="40" priority="24"/>
  </conditionalFormatting>
  <conditionalFormatting sqref="J64">
    <cfRule type="duplicateValues" dxfId="39" priority="22"/>
  </conditionalFormatting>
  <conditionalFormatting sqref="J64">
    <cfRule type="duplicateValues" dxfId="38" priority="21"/>
  </conditionalFormatting>
  <conditionalFormatting sqref="D64">
    <cfRule type="duplicateValues" dxfId="37" priority="19"/>
  </conditionalFormatting>
  <conditionalFormatting sqref="D64">
    <cfRule type="duplicateValues" dxfId="36" priority="20"/>
  </conditionalFormatting>
  <conditionalFormatting sqref="D64">
    <cfRule type="duplicateValues" dxfId="35" priority="18"/>
  </conditionalFormatting>
  <conditionalFormatting sqref="D64">
    <cfRule type="duplicateValues" dxfId="34" priority="17"/>
  </conditionalFormatting>
  <conditionalFormatting sqref="D65">
    <cfRule type="duplicateValues" dxfId="33" priority="15"/>
  </conditionalFormatting>
  <conditionalFormatting sqref="D65">
    <cfRule type="duplicateValues" dxfId="32" priority="16"/>
  </conditionalFormatting>
  <conditionalFormatting sqref="D65">
    <cfRule type="duplicateValues" dxfId="31" priority="14"/>
  </conditionalFormatting>
  <conditionalFormatting sqref="D65">
    <cfRule type="duplicateValues" dxfId="30" priority="13"/>
  </conditionalFormatting>
  <conditionalFormatting sqref="D63">
    <cfRule type="duplicateValues" dxfId="29" priority="11"/>
  </conditionalFormatting>
  <conditionalFormatting sqref="D63">
    <cfRule type="duplicateValues" dxfId="28" priority="12"/>
  </conditionalFormatting>
  <conditionalFormatting sqref="D63">
    <cfRule type="duplicateValues" dxfId="27" priority="10"/>
  </conditionalFormatting>
  <conditionalFormatting sqref="D269">
    <cfRule type="duplicateValues" dxfId="26" priority="9"/>
  </conditionalFormatting>
  <conditionalFormatting sqref="D269">
    <cfRule type="duplicateValues" dxfId="25" priority="8"/>
  </conditionalFormatting>
  <conditionalFormatting sqref="D269">
    <cfRule type="duplicateValues" dxfId="24" priority="7"/>
  </conditionalFormatting>
  <conditionalFormatting sqref="D235">
    <cfRule type="duplicateValues" dxfId="23" priority="5"/>
  </conditionalFormatting>
  <conditionalFormatting sqref="D235">
    <cfRule type="duplicateValues" dxfId="22" priority="6"/>
  </conditionalFormatting>
  <conditionalFormatting sqref="D235">
    <cfRule type="duplicateValues" dxfId="21" priority="4"/>
  </conditionalFormatting>
  <conditionalFormatting sqref="D193">
    <cfRule type="duplicateValues" dxfId="2" priority="3"/>
  </conditionalFormatting>
  <conditionalFormatting sqref="D193">
    <cfRule type="duplicateValues" dxfId="1" priority="2"/>
  </conditionalFormatting>
  <conditionalFormatting sqref="D19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77"/>
  <sheetViews>
    <sheetView zoomScale="115" zoomScaleNormal="115" workbookViewId="0">
      <pane ySplit="1" topLeftCell="A187" activePane="bottomLeft" state="frozen"/>
      <selection pane="bottomLeft" activeCell="G188" sqref="G188"/>
    </sheetView>
  </sheetViews>
  <sheetFormatPr defaultColWidth="9" defaultRowHeight="13.5" x14ac:dyDescent="0.3"/>
  <cols>
    <col min="1" max="1" width="9" style="38"/>
    <col min="2" max="2" width="8.375" style="38" bestFit="1" customWidth="1"/>
    <col min="3" max="6" width="9" style="38"/>
    <col min="7" max="7" width="13.125" style="38" bestFit="1" customWidth="1"/>
    <col min="8" max="16384" width="9" style="38"/>
  </cols>
  <sheetData>
    <row r="1" spans="1:7" x14ac:dyDescent="0.3">
      <c r="A1" s="39"/>
      <c r="B1" s="39" t="s">
        <v>255</v>
      </c>
      <c r="C1" s="39" t="s">
        <v>7</v>
      </c>
      <c r="D1" s="39" t="s">
        <v>2</v>
      </c>
      <c r="E1" s="39" t="s">
        <v>6</v>
      </c>
      <c r="F1" s="39" t="s">
        <v>3</v>
      </c>
      <c r="G1" s="39" t="s">
        <v>5</v>
      </c>
    </row>
    <row r="2" spans="1:7" ht="16.5" hidden="1" customHeight="1" x14ac:dyDescent="0.3">
      <c r="A2" s="175">
        <v>210824</v>
      </c>
      <c r="B2" s="171" t="s">
        <v>660</v>
      </c>
      <c r="C2" s="198">
        <v>8</v>
      </c>
      <c r="D2" s="197" t="s">
        <v>1041</v>
      </c>
      <c r="E2" s="196">
        <v>210824</v>
      </c>
      <c r="F2" s="39"/>
      <c r="G2" s="68"/>
    </row>
    <row r="3" spans="1:7" ht="16.5" hidden="1" customHeight="1" x14ac:dyDescent="0.3">
      <c r="A3" s="175">
        <v>210826</v>
      </c>
      <c r="B3" s="171" t="s">
        <v>661</v>
      </c>
      <c r="C3" s="198">
        <v>8</v>
      </c>
      <c r="D3" s="197" t="s">
        <v>1118</v>
      </c>
      <c r="E3" s="196">
        <v>210826</v>
      </c>
      <c r="F3" s="39"/>
      <c r="G3" s="39"/>
    </row>
    <row r="4" spans="1:7" ht="16.5" hidden="1" x14ac:dyDescent="0.3">
      <c r="A4" s="175">
        <v>210827</v>
      </c>
      <c r="B4" s="171" t="s">
        <v>662</v>
      </c>
      <c r="C4" s="198">
        <v>8</v>
      </c>
      <c r="D4" s="197" t="s">
        <v>1119</v>
      </c>
      <c r="E4" s="196">
        <v>210827</v>
      </c>
      <c r="F4" s="39"/>
      <c r="G4" s="68"/>
    </row>
    <row r="5" spans="1:7" ht="16.5" hidden="1" customHeight="1" x14ac:dyDescent="0.3">
      <c r="A5" s="175">
        <v>210829</v>
      </c>
      <c r="B5" s="171" t="s">
        <v>663</v>
      </c>
      <c r="C5" s="198">
        <v>8</v>
      </c>
      <c r="D5" s="197" t="s">
        <v>1120</v>
      </c>
      <c r="E5" s="196">
        <v>210829</v>
      </c>
      <c r="F5" s="39"/>
      <c r="G5" s="39"/>
    </row>
    <row r="6" spans="1:7" ht="16.5" hidden="1" customHeight="1" x14ac:dyDescent="0.3">
      <c r="A6" s="175">
        <v>210830</v>
      </c>
      <c r="B6" s="171" t="s">
        <v>664</v>
      </c>
      <c r="C6" s="198">
        <v>8</v>
      </c>
      <c r="D6" s="197" t="s">
        <v>1042</v>
      </c>
      <c r="E6" s="196">
        <v>210830</v>
      </c>
      <c r="F6" s="39"/>
      <c r="G6" s="39"/>
    </row>
    <row r="7" spans="1:7" ht="16.5" hidden="1" customHeight="1" x14ac:dyDescent="0.3">
      <c r="A7" s="175">
        <v>210831</v>
      </c>
      <c r="B7" s="171" t="s">
        <v>665</v>
      </c>
      <c r="C7" s="198">
        <v>8</v>
      </c>
      <c r="D7" s="197" t="s">
        <v>1043</v>
      </c>
      <c r="E7" s="196">
        <v>210831</v>
      </c>
      <c r="F7" s="39"/>
      <c r="G7" s="39"/>
    </row>
    <row r="8" spans="1:7" ht="16.5" hidden="1" customHeight="1" x14ac:dyDescent="0.3">
      <c r="A8" s="175">
        <v>210832</v>
      </c>
      <c r="B8" s="171" t="s">
        <v>666</v>
      </c>
      <c r="C8" s="198">
        <v>8</v>
      </c>
      <c r="D8" s="197" t="s">
        <v>1121</v>
      </c>
      <c r="E8" s="196">
        <v>210832</v>
      </c>
      <c r="F8" s="39"/>
      <c r="G8" s="39"/>
    </row>
    <row r="9" spans="1:7" ht="16.5" hidden="1" customHeight="1" x14ac:dyDescent="0.3">
      <c r="A9" s="175">
        <v>210905</v>
      </c>
      <c r="B9" s="171" t="s">
        <v>667</v>
      </c>
      <c r="C9" s="198">
        <v>9</v>
      </c>
      <c r="D9" s="197" t="s">
        <v>1122</v>
      </c>
      <c r="E9" s="196">
        <v>210905</v>
      </c>
      <c r="F9" s="39"/>
      <c r="G9" s="39"/>
    </row>
    <row r="10" spans="1:7" ht="16.5" hidden="1" customHeight="1" x14ac:dyDescent="0.3">
      <c r="A10" s="175">
        <v>210909</v>
      </c>
      <c r="B10" s="171" t="s">
        <v>668</v>
      </c>
      <c r="C10" s="198">
        <v>9</v>
      </c>
      <c r="D10" s="197" t="s">
        <v>1044</v>
      </c>
      <c r="E10" s="196">
        <v>210909</v>
      </c>
      <c r="F10" s="39"/>
      <c r="G10" s="39"/>
    </row>
    <row r="11" spans="1:7" ht="16.5" hidden="1" x14ac:dyDescent="0.3">
      <c r="A11" s="175">
        <v>210911</v>
      </c>
      <c r="B11" s="171" t="s">
        <v>669</v>
      </c>
      <c r="C11" s="198">
        <v>9</v>
      </c>
      <c r="D11" s="197" t="s">
        <v>1123</v>
      </c>
      <c r="E11" s="196">
        <v>210911</v>
      </c>
      <c r="F11" s="39"/>
      <c r="G11" s="39"/>
    </row>
    <row r="12" spans="1:7" ht="16.5" hidden="1" customHeight="1" x14ac:dyDescent="0.3">
      <c r="A12" s="175">
        <v>210916</v>
      </c>
      <c r="B12" s="171" t="s">
        <v>670</v>
      </c>
      <c r="C12" s="198">
        <v>9</v>
      </c>
      <c r="D12" s="197" t="s">
        <v>997</v>
      </c>
      <c r="E12" s="196">
        <v>210916</v>
      </c>
      <c r="F12" s="39"/>
      <c r="G12" s="39"/>
    </row>
    <row r="13" spans="1:7" ht="16.5" hidden="1" customHeight="1" x14ac:dyDescent="0.3">
      <c r="A13" s="175">
        <v>210918</v>
      </c>
      <c r="B13" s="171" t="s">
        <v>671</v>
      </c>
      <c r="C13" s="198">
        <v>9</v>
      </c>
      <c r="D13" s="197" t="s">
        <v>1124</v>
      </c>
      <c r="E13" s="196">
        <v>210918</v>
      </c>
      <c r="F13" s="39"/>
      <c r="G13" s="39"/>
    </row>
    <row r="14" spans="1:7" ht="16.5" hidden="1" customHeight="1" x14ac:dyDescent="0.3">
      <c r="A14" s="175">
        <v>210919</v>
      </c>
      <c r="B14" s="171" t="s">
        <v>672</v>
      </c>
      <c r="C14" s="198">
        <v>9</v>
      </c>
      <c r="D14" s="197" t="s">
        <v>1125</v>
      </c>
      <c r="E14" s="196">
        <v>210919</v>
      </c>
      <c r="F14" s="39"/>
      <c r="G14" s="39"/>
    </row>
    <row r="15" spans="1:7" ht="16.5" hidden="1" customHeight="1" x14ac:dyDescent="0.3">
      <c r="A15" s="175">
        <v>210921</v>
      </c>
      <c r="B15" s="171" t="s">
        <v>673</v>
      </c>
      <c r="C15" s="198">
        <v>9</v>
      </c>
      <c r="D15" s="197" t="s">
        <v>1045</v>
      </c>
      <c r="E15" s="196">
        <v>210921</v>
      </c>
      <c r="F15" s="39"/>
      <c r="G15" s="39"/>
    </row>
    <row r="16" spans="1:7" ht="16.5" hidden="1" customHeight="1" x14ac:dyDescent="0.3">
      <c r="A16" s="175">
        <v>210922</v>
      </c>
      <c r="B16" s="171" t="s">
        <v>674</v>
      </c>
      <c r="C16" s="198">
        <v>9</v>
      </c>
      <c r="D16" s="197" t="s">
        <v>1126</v>
      </c>
      <c r="E16" s="196">
        <v>210922</v>
      </c>
      <c r="F16" s="39"/>
      <c r="G16" s="39"/>
    </row>
    <row r="17" spans="1:7" ht="16.5" hidden="1" customHeight="1" x14ac:dyDescent="0.3">
      <c r="A17" s="175">
        <v>210925</v>
      </c>
      <c r="B17" s="171" t="s">
        <v>675</v>
      </c>
      <c r="C17" s="198">
        <v>9</v>
      </c>
      <c r="D17" s="197" t="s">
        <v>1046</v>
      </c>
      <c r="E17" s="196">
        <v>210925</v>
      </c>
      <c r="F17" s="39"/>
      <c r="G17" s="39"/>
    </row>
    <row r="18" spans="1:7" ht="16.5" hidden="1" customHeight="1" x14ac:dyDescent="0.3">
      <c r="A18" s="175">
        <v>210926</v>
      </c>
      <c r="B18" s="171" t="s">
        <v>676</v>
      </c>
      <c r="C18" s="198">
        <v>9</v>
      </c>
      <c r="D18" s="197" t="s">
        <v>1047</v>
      </c>
      <c r="E18" s="196">
        <v>210926</v>
      </c>
      <c r="F18" s="39"/>
      <c r="G18" s="39"/>
    </row>
    <row r="19" spans="1:7" ht="16.5" hidden="1" customHeight="1" x14ac:dyDescent="0.3">
      <c r="A19" s="175">
        <v>210927</v>
      </c>
      <c r="B19" s="171" t="s">
        <v>677</v>
      </c>
      <c r="C19" s="198">
        <v>9</v>
      </c>
      <c r="D19" s="197" t="s">
        <v>1048</v>
      </c>
      <c r="E19" s="196">
        <v>210927</v>
      </c>
      <c r="F19" s="39"/>
      <c r="G19" s="39"/>
    </row>
    <row r="20" spans="1:7" ht="16.5" hidden="1" customHeight="1" x14ac:dyDescent="0.3">
      <c r="A20" s="175">
        <v>210928</v>
      </c>
      <c r="B20" s="171" t="s">
        <v>678</v>
      </c>
      <c r="C20" s="198">
        <v>9</v>
      </c>
      <c r="D20" s="197" t="s">
        <v>1127</v>
      </c>
      <c r="E20" s="196">
        <v>210928</v>
      </c>
      <c r="F20" s="39"/>
      <c r="G20" s="39"/>
    </row>
    <row r="21" spans="1:7" ht="16.5" hidden="1" customHeight="1" x14ac:dyDescent="0.3">
      <c r="A21" s="175">
        <v>210929</v>
      </c>
      <c r="B21" s="171" t="s">
        <v>679</v>
      </c>
      <c r="C21" s="198">
        <v>9</v>
      </c>
      <c r="D21" s="197" t="s">
        <v>1128</v>
      </c>
      <c r="E21" s="196">
        <v>210929</v>
      </c>
      <c r="F21" s="39"/>
      <c r="G21" s="39"/>
    </row>
    <row r="22" spans="1:7" ht="16.5" hidden="1" x14ac:dyDescent="0.3">
      <c r="A22" s="175">
        <v>210930</v>
      </c>
      <c r="B22" s="171" t="s">
        <v>680</v>
      </c>
      <c r="C22" s="198">
        <v>9</v>
      </c>
      <c r="D22" s="197" t="s">
        <v>1129</v>
      </c>
      <c r="E22" s="196">
        <v>210930</v>
      </c>
      <c r="F22" s="39"/>
      <c r="G22" s="39"/>
    </row>
    <row r="23" spans="1:7" ht="16.5" hidden="1" customHeight="1" x14ac:dyDescent="0.3">
      <c r="A23" s="175">
        <v>210931</v>
      </c>
      <c r="B23" s="171" t="s">
        <v>681</v>
      </c>
      <c r="C23" s="198">
        <v>9</v>
      </c>
      <c r="D23" s="197" t="s">
        <v>1049</v>
      </c>
      <c r="E23" s="196">
        <v>210931</v>
      </c>
      <c r="F23" s="39"/>
      <c r="G23" s="39"/>
    </row>
    <row r="24" spans="1:7" ht="16.5" hidden="1" customHeight="1" x14ac:dyDescent="0.3">
      <c r="A24" s="175">
        <v>210932</v>
      </c>
      <c r="B24" s="171" t="s">
        <v>682</v>
      </c>
      <c r="C24" s="198">
        <v>9</v>
      </c>
      <c r="D24" s="197" t="s">
        <v>1050</v>
      </c>
      <c r="E24" s="196">
        <v>210932</v>
      </c>
      <c r="F24" s="39"/>
      <c r="G24" s="39"/>
    </row>
    <row r="25" spans="1:7" ht="16.5" hidden="1" customHeight="1" x14ac:dyDescent="0.3">
      <c r="A25" s="175">
        <v>211002</v>
      </c>
      <c r="B25" s="171" t="s">
        <v>683</v>
      </c>
      <c r="C25" s="198">
        <v>10</v>
      </c>
      <c r="D25" s="197" t="s">
        <v>1130</v>
      </c>
      <c r="E25" s="196">
        <v>211002</v>
      </c>
      <c r="F25" s="39"/>
      <c r="G25" s="39"/>
    </row>
    <row r="26" spans="1:7" ht="16.5" hidden="1" customHeight="1" x14ac:dyDescent="0.3">
      <c r="A26" s="175">
        <v>211004</v>
      </c>
      <c r="B26" s="171" t="s">
        <v>684</v>
      </c>
      <c r="C26" s="198">
        <v>10</v>
      </c>
      <c r="D26" s="197" t="s">
        <v>987</v>
      </c>
      <c r="E26" s="196">
        <v>211004</v>
      </c>
      <c r="F26" s="39"/>
      <c r="G26" s="39"/>
    </row>
    <row r="27" spans="1:7" ht="16.5" hidden="1" customHeight="1" x14ac:dyDescent="0.3">
      <c r="A27" s="175">
        <v>211005</v>
      </c>
      <c r="B27" s="171" t="s">
        <v>685</v>
      </c>
      <c r="C27" s="198">
        <v>10</v>
      </c>
      <c r="D27" s="197" t="s">
        <v>1131</v>
      </c>
      <c r="E27" s="196">
        <v>211005</v>
      </c>
      <c r="F27" s="39"/>
      <c r="G27" s="39"/>
    </row>
    <row r="28" spans="1:7" ht="16.5" hidden="1" customHeight="1" x14ac:dyDescent="0.3">
      <c r="A28" s="175">
        <v>211006</v>
      </c>
      <c r="B28" s="171" t="s">
        <v>686</v>
      </c>
      <c r="C28" s="198">
        <v>10</v>
      </c>
      <c r="D28" s="197" t="s">
        <v>988</v>
      </c>
      <c r="E28" s="196">
        <v>211006</v>
      </c>
      <c r="F28" s="39"/>
      <c r="G28" s="39"/>
    </row>
    <row r="29" spans="1:7" ht="16.5" hidden="1" customHeight="1" x14ac:dyDescent="0.3">
      <c r="A29" s="175">
        <v>211010</v>
      </c>
      <c r="B29" s="171" t="s">
        <v>687</v>
      </c>
      <c r="C29" s="198">
        <v>10</v>
      </c>
      <c r="D29" s="197" t="s">
        <v>1132</v>
      </c>
      <c r="E29" s="196">
        <v>211010</v>
      </c>
      <c r="F29" s="39"/>
      <c r="G29" s="39"/>
    </row>
    <row r="30" spans="1:7" ht="16.5" hidden="1" customHeight="1" x14ac:dyDescent="0.3">
      <c r="A30" s="175">
        <v>211011</v>
      </c>
      <c r="B30" s="171" t="s">
        <v>688</v>
      </c>
      <c r="C30" s="198">
        <v>10</v>
      </c>
      <c r="D30" s="197" t="s">
        <v>1133</v>
      </c>
      <c r="E30" s="196">
        <v>211011</v>
      </c>
      <c r="F30" s="39"/>
      <c r="G30" s="39"/>
    </row>
    <row r="31" spans="1:7" ht="16.5" hidden="1" customHeight="1" x14ac:dyDescent="0.3">
      <c r="A31" s="175">
        <v>211013</v>
      </c>
      <c r="B31" s="171" t="s">
        <v>689</v>
      </c>
      <c r="C31" s="198">
        <v>10</v>
      </c>
      <c r="D31" s="197" t="s">
        <v>1134</v>
      </c>
      <c r="E31" s="196">
        <v>211013</v>
      </c>
      <c r="F31" s="39"/>
      <c r="G31" s="39"/>
    </row>
    <row r="32" spans="1:7" ht="16.5" hidden="1" customHeight="1" x14ac:dyDescent="0.3">
      <c r="A32" s="175">
        <v>211014</v>
      </c>
      <c r="B32" s="171" t="s">
        <v>690</v>
      </c>
      <c r="C32" s="198">
        <v>10</v>
      </c>
      <c r="D32" s="197" t="s">
        <v>1135</v>
      </c>
      <c r="E32" s="196">
        <v>211014</v>
      </c>
      <c r="F32" s="39"/>
      <c r="G32" s="39"/>
    </row>
    <row r="33" spans="1:7" ht="16.5" hidden="1" customHeight="1" x14ac:dyDescent="0.3">
      <c r="A33" s="175">
        <v>211016</v>
      </c>
      <c r="B33" s="171" t="s">
        <v>691</v>
      </c>
      <c r="C33" s="198">
        <v>10</v>
      </c>
      <c r="D33" s="197" t="s">
        <v>989</v>
      </c>
      <c r="E33" s="196">
        <v>211016</v>
      </c>
      <c r="F33" s="39"/>
      <c r="G33" s="39"/>
    </row>
    <row r="34" spans="1:7" ht="16.5" hidden="1" customHeight="1" x14ac:dyDescent="0.3">
      <c r="A34" s="175">
        <v>211018</v>
      </c>
      <c r="B34" s="171" t="s">
        <v>692</v>
      </c>
      <c r="C34" s="198">
        <v>10</v>
      </c>
      <c r="D34" s="197" t="s">
        <v>1136</v>
      </c>
      <c r="E34" s="196">
        <v>211018</v>
      </c>
      <c r="F34" s="39"/>
      <c r="G34" s="39"/>
    </row>
    <row r="35" spans="1:7" ht="16.5" hidden="1" customHeight="1" x14ac:dyDescent="0.3">
      <c r="A35" s="175">
        <v>211020</v>
      </c>
      <c r="B35" s="171" t="s">
        <v>693</v>
      </c>
      <c r="C35" s="198">
        <v>10</v>
      </c>
      <c r="D35" s="197" t="s">
        <v>1137</v>
      </c>
      <c r="E35" s="196">
        <v>211020</v>
      </c>
      <c r="F35" s="39"/>
      <c r="G35" s="39"/>
    </row>
    <row r="36" spans="1:7" ht="16.5" hidden="1" customHeight="1" x14ac:dyDescent="0.3">
      <c r="A36" s="175">
        <v>211021</v>
      </c>
      <c r="B36" s="171" t="s">
        <v>694</v>
      </c>
      <c r="C36" s="198">
        <v>10</v>
      </c>
      <c r="D36" s="197" t="s">
        <v>990</v>
      </c>
      <c r="E36" s="196">
        <v>211021</v>
      </c>
      <c r="F36" s="39"/>
      <c r="G36" s="39"/>
    </row>
    <row r="37" spans="1:7" ht="16.5" hidden="1" customHeight="1" x14ac:dyDescent="0.3">
      <c r="A37" s="175">
        <v>211024</v>
      </c>
      <c r="B37" s="171" t="s">
        <v>695</v>
      </c>
      <c r="C37" s="198">
        <v>10</v>
      </c>
      <c r="D37" s="197" t="s">
        <v>986</v>
      </c>
      <c r="E37" s="196">
        <v>211024</v>
      </c>
      <c r="F37" s="39"/>
      <c r="G37" s="39"/>
    </row>
    <row r="38" spans="1:7" ht="16.5" hidden="1" customHeight="1" x14ac:dyDescent="0.3">
      <c r="A38" s="175">
        <v>211029</v>
      </c>
      <c r="B38" s="171" t="s">
        <v>696</v>
      </c>
      <c r="C38" s="198">
        <v>10</v>
      </c>
      <c r="D38" s="197" t="s">
        <v>1138</v>
      </c>
      <c r="E38" s="196">
        <v>211029</v>
      </c>
      <c r="F38" s="39"/>
      <c r="G38" s="39"/>
    </row>
    <row r="39" spans="1:7" ht="16.5" hidden="1" customHeight="1" x14ac:dyDescent="0.3">
      <c r="A39" s="175">
        <v>211031</v>
      </c>
      <c r="B39" s="171" t="s">
        <v>697</v>
      </c>
      <c r="C39" s="198">
        <v>10</v>
      </c>
      <c r="D39" s="197" t="s">
        <v>1139</v>
      </c>
      <c r="E39" s="196">
        <v>211031</v>
      </c>
      <c r="F39" s="39"/>
      <c r="G39" s="39"/>
    </row>
    <row r="40" spans="1:7" ht="16.5" hidden="1" customHeight="1" x14ac:dyDescent="0.3">
      <c r="A40" s="175">
        <v>211032</v>
      </c>
      <c r="B40" s="171" t="s">
        <v>698</v>
      </c>
      <c r="C40" s="198">
        <v>10</v>
      </c>
      <c r="D40" s="197" t="s">
        <v>991</v>
      </c>
      <c r="E40" s="196">
        <v>211032</v>
      </c>
      <c r="F40" s="39"/>
      <c r="G40" s="39"/>
    </row>
    <row r="41" spans="1:7" ht="16.5" hidden="1" customHeight="1" x14ac:dyDescent="0.3">
      <c r="A41" s="175">
        <v>211101</v>
      </c>
      <c r="B41" s="171" t="s">
        <v>699</v>
      </c>
      <c r="C41" s="198">
        <v>11</v>
      </c>
      <c r="D41" s="197" t="s">
        <v>1140</v>
      </c>
      <c r="E41" s="196">
        <v>211101</v>
      </c>
      <c r="F41" s="39"/>
      <c r="G41" s="39"/>
    </row>
    <row r="42" spans="1:7" ht="16.5" hidden="1" x14ac:dyDescent="0.3">
      <c r="A42" s="175">
        <v>211106</v>
      </c>
      <c r="B42" s="171" t="s">
        <v>700</v>
      </c>
      <c r="C42" s="198">
        <v>11</v>
      </c>
      <c r="D42" s="197" t="s">
        <v>1141</v>
      </c>
      <c r="E42" s="196">
        <v>211106</v>
      </c>
      <c r="F42" s="39"/>
      <c r="G42" s="39"/>
    </row>
    <row r="43" spans="1:7" ht="16.5" hidden="1" customHeight="1" x14ac:dyDescent="0.3">
      <c r="A43" s="175">
        <v>211108</v>
      </c>
      <c r="B43" s="171" t="s">
        <v>701</v>
      </c>
      <c r="C43" s="198">
        <v>11</v>
      </c>
      <c r="D43" s="197" t="s">
        <v>1142</v>
      </c>
      <c r="E43" s="196">
        <v>211108</v>
      </c>
      <c r="F43" s="39"/>
      <c r="G43" s="39"/>
    </row>
    <row r="44" spans="1:7" ht="16.5" hidden="1" customHeight="1" x14ac:dyDescent="0.3">
      <c r="A44" s="175">
        <v>211112</v>
      </c>
      <c r="B44" s="171" t="s">
        <v>702</v>
      </c>
      <c r="C44" s="198">
        <v>11</v>
      </c>
      <c r="D44" s="197" t="s">
        <v>1143</v>
      </c>
      <c r="E44" s="196">
        <v>211112</v>
      </c>
      <c r="F44" s="39"/>
      <c r="G44" s="39"/>
    </row>
    <row r="45" spans="1:7" ht="16.5" hidden="1" customHeight="1" x14ac:dyDescent="0.3">
      <c r="A45" s="175">
        <v>211113</v>
      </c>
      <c r="B45" s="171" t="s">
        <v>703</v>
      </c>
      <c r="C45" s="198">
        <v>11</v>
      </c>
      <c r="D45" s="197" t="s">
        <v>992</v>
      </c>
      <c r="E45" s="196">
        <v>211113</v>
      </c>
      <c r="F45" s="39"/>
      <c r="G45" s="39"/>
    </row>
    <row r="46" spans="1:7" ht="16.5" hidden="1" customHeight="1" x14ac:dyDescent="0.3">
      <c r="A46" s="175">
        <v>211115</v>
      </c>
      <c r="B46" s="171" t="s">
        <v>704</v>
      </c>
      <c r="C46" s="198">
        <v>11</v>
      </c>
      <c r="D46" s="197" t="s">
        <v>993</v>
      </c>
      <c r="E46" s="196">
        <v>211115</v>
      </c>
      <c r="F46" s="39"/>
      <c r="G46" s="39"/>
    </row>
    <row r="47" spans="1:7" ht="16.5" hidden="1" customHeight="1" x14ac:dyDescent="0.3">
      <c r="A47" s="175">
        <v>211116</v>
      </c>
      <c r="B47" s="171" t="s">
        <v>705</v>
      </c>
      <c r="C47" s="198">
        <v>11</v>
      </c>
      <c r="D47" s="197" t="s">
        <v>994</v>
      </c>
      <c r="E47" s="196">
        <v>211116</v>
      </c>
      <c r="F47" s="39"/>
      <c r="G47" s="39"/>
    </row>
    <row r="48" spans="1:7" ht="16.5" hidden="1" customHeight="1" x14ac:dyDescent="0.3">
      <c r="A48" s="175">
        <v>211119</v>
      </c>
      <c r="B48" s="171" t="s">
        <v>706</v>
      </c>
      <c r="C48" s="198">
        <v>11</v>
      </c>
      <c r="D48" s="197" t="s">
        <v>1144</v>
      </c>
      <c r="E48" s="196">
        <v>211119</v>
      </c>
      <c r="F48" s="39"/>
      <c r="G48" s="39"/>
    </row>
    <row r="49" spans="1:7" ht="16.5" hidden="1" customHeight="1" x14ac:dyDescent="0.3">
      <c r="A49" s="175">
        <v>211120</v>
      </c>
      <c r="B49" s="171" t="s">
        <v>707</v>
      </c>
      <c r="C49" s="198">
        <v>11</v>
      </c>
      <c r="D49" s="197" t="s">
        <v>1145</v>
      </c>
      <c r="E49" s="196">
        <v>211120</v>
      </c>
      <c r="F49" s="39"/>
      <c r="G49" s="39"/>
    </row>
    <row r="50" spans="1:7" ht="16.5" hidden="1" customHeight="1" x14ac:dyDescent="0.3">
      <c r="A50" s="175">
        <v>211123</v>
      </c>
      <c r="B50" s="171" t="s">
        <v>708</v>
      </c>
      <c r="C50" s="198">
        <v>11</v>
      </c>
      <c r="D50" s="197" t="s">
        <v>995</v>
      </c>
      <c r="E50" s="196">
        <v>211123</v>
      </c>
      <c r="F50" s="39"/>
      <c r="G50" s="39"/>
    </row>
    <row r="51" spans="1:7" ht="16.5" hidden="1" customHeight="1" x14ac:dyDescent="0.3">
      <c r="A51" s="175">
        <v>211124</v>
      </c>
      <c r="B51" s="171" t="s">
        <v>709</v>
      </c>
      <c r="C51" s="198">
        <v>11</v>
      </c>
      <c r="D51" s="197" t="s">
        <v>1146</v>
      </c>
      <c r="E51" s="196">
        <v>211124</v>
      </c>
      <c r="F51" s="39"/>
      <c r="G51" s="39"/>
    </row>
    <row r="52" spans="1:7" ht="16.5" hidden="1" customHeight="1" x14ac:dyDescent="0.3">
      <c r="A52" s="175">
        <v>211125</v>
      </c>
      <c r="B52" s="171" t="s">
        <v>710</v>
      </c>
      <c r="C52" s="198">
        <v>11</v>
      </c>
      <c r="D52" s="197" t="s">
        <v>1147</v>
      </c>
      <c r="E52" s="196">
        <v>211125</v>
      </c>
      <c r="F52" s="39"/>
      <c r="G52" s="39"/>
    </row>
    <row r="53" spans="1:7" ht="16.5" hidden="1" customHeight="1" x14ac:dyDescent="0.3">
      <c r="A53" s="175">
        <v>211127</v>
      </c>
      <c r="B53" s="171" t="s">
        <v>711</v>
      </c>
      <c r="C53" s="198">
        <v>11</v>
      </c>
      <c r="D53" s="197" t="s">
        <v>1148</v>
      </c>
      <c r="E53" s="196">
        <v>211127</v>
      </c>
      <c r="F53" s="39"/>
      <c r="G53" s="39"/>
    </row>
    <row r="54" spans="1:7" ht="16.5" hidden="1" customHeight="1" x14ac:dyDescent="0.3">
      <c r="A54" s="175">
        <v>211128</v>
      </c>
      <c r="B54" s="171" t="s">
        <v>712</v>
      </c>
      <c r="C54" s="198">
        <v>11</v>
      </c>
      <c r="D54" s="197" t="s">
        <v>996</v>
      </c>
      <c r="E54" s="196">
        <v>211128</v>
      </c>
      <c r="F54" s="39"/>
      <c r="G54" s="39"/>
    </row>
    <row r="55" spans="1:7" ht="16.5" hidden="1" x14ac:dyDescent="0.3">
      <c r="A55" s="175">
        <v>211130</v>
      </c>
      <c r="B55" s="171" t="s">
        <v>713</v>
      </c>
      <c r="C55" s="198">
        <v>11</v>
      </c>
      <c r="D55" s="197" t="s">
        <v>1149</v>
      </c>
      <c r="E55" s="196">
        <v>211130</v>
      </c>
      <c r="F55" s="39"/>
      <c r="G55" s="39"/>
    </row>
    <row r="56" spans="1:7" ht="16.5" hidden="1" customHeight="1" x14ac:dyDescent="0.3">
      <c r="A56" s="175">
        <v>211201</v>
      </c>
      <c r="B56" s="171" t="s">
        <v>714</v>
      </c>
      <c r="C56" s="198">
        <v>12</v>
      </c>
      <c r="D56" s="197" t="s">
        <v>1051</v>
      </c>
      <c r="E56" s="196">
        <v>211201</v>
      </c>
      <c r="F56" s="39"/>
      <c r="G56" s="39"/>
    </row>
    <row r="57" spans="1:7" ht="16.5" hidden="1" customHeight="1" x14ac:dyDescent="0.3">
      <c r="A57" s="175">
        <v>211202</v>
      </c>
      <c r="B57" s="171" t="s">
        <v>715</v>
      </c>
      <c r="C57" s="198">
        <v>12</v>
      </c>
      <c r="D57" s="197" t="s">
        <v>1052</v>
      </c>
      <c r="E57" s="196">
        <v>211202</v>
      </c>
      <c r="F57" s="39"/>
      <c r="G57" s="39"/>
    </row>
    <row r="58" spans="1:7" ht="16.5" hidden="1" customHeight="1" x14ac:dyDescent="0.3">
      <c r="A58" s="175">
        <v>211204</v>
      </c>
      <c r="B58" s="171" t="s">
        <v>716</v>
      </c>
      <c r="C58" s="198">
        <v>12</v>
      </c>
      <c r="D58" s="197" t="s">
        <v>1053</v>
      </c>
      <c r="E58" s="196">
        <v>211204</v>
      </c>
      <c r="F58" s="39"/>
      <c r="G58" s="39"/>
    </row>
    <row r="59" spans="1:7" ht="16.5" hidden="1" customHeight="1" x14ac:dyDescent="0.3">
      <c r="A59" s="175">
        <v>211206</v>
      </c>
      <c r="B59" s="171" t="s">
        <v>717</v>
      </c>
      <c r="C59" s="198">
        <v>12</v>
      </c>
      <c r="D59" s="197" t="s">
        <v>1054</v>
      </c>
      <c r="E59" s="196">
        <v>211206</v>
      </c>
      <c r="F59" s="39"/>
      <c r="G59" s="39"/>
    </row>
    <row r="60" spans="1:7" ht="16.5" hidden="1" customHeight="1" x14ac:dyDescent="0.3">
      <c r="A60" s="175">
        <v>211212</v>
      </c>
      <c r="B60" s="171" t="s">
        <v>718</v>
      </c>
      <c r="C60" s="198">
        <v>12</v>
      </c>
      <c r="D60" s="197" t="s">
        <v>1150</v>
      </c>
      <c r="E60" s="196">
        <v>211212</v>
      </c>
      <c r="F60" s="39"/>
      <c r="G60" s="39"/>
    </row>
    <row r="61" spans="1:7" ht="16.5" hidden="1" customHeight="1" x14ac:dyDescent="0.3">
      <c r="A61" s="175">
        <v>211213</v>
      </c>
      <c r="B61" s="171" t="s">
        <v>719</v>
      </c>
      <c r="C61" s="198">
        <v>12</v>
      </c>
      <c r="D61" s="197" t="s">
        <v>1055</v>
      </c>
      <c r="E61" s="196">
        <v>211213</v>
      </c>
      <c r="F61" s="39"/>
      <c r="G61" s="39"/>
    </row>
    <row r="62" spans="1:7" ht="16.5" hidden="1" customHeight="1" x14ac:dyDescent="0.3">
      <c r="A62" s="175">
        <v>211215</v>
      </c>
      <c r="B62" s="171" t="s">
        <v>720</v>
      </c>
      <c r="C62" s="198">
        <v>12</v>
      </c>
      <c r="D62" s="197" t="s">
        <v>1151</v>
      </c>
      <c r="E62" s="196">
        <v>211215</v>
      </c>
      <c r="F62" s="39"/>
      <c r="G62" s="39"/>
    </row>
    <row r="63" spans="1:7" ht="16.5" hidden="1" customHeight="1" x14ac:dyDescent="0.3">
      <c r="A63" s="175">
        <v>211217</v>
      </c>
      <c r="B63" s="171" t="s">
        <v>721</v>
      </c>
      <c r="C63" s="198">
        <v>12</v>
      </c>
      <c r="D63" s="197" t="s">
        <v>1152</v>
      </c>
      <c r="E63" s="196">
        <v>211217</v>
      </c>
      <c r="F63" s="39"/>
      <c r="G63" s="39"/>
    </row>
    <row r="64" spans="1:7" ht="16.5" hidden="1" customHeight="1" x14ac:dyDescent="0.3">
      <c r="A64" s="175">
        <v>211221</v>
      </c>
      <c r="B64" s="171" t="s">
        <v>722</v>
      </c>
      <c r="C64" s="198">
        <v>12</v>
      </c>
      <c r="D64" s="197" t="s">
        <v>1153</v>
      </c>
      <c r="E64" s="196">
        <v>211221</v>
      </c>
      <c r="F64" s="39"/>
      <c r="G64" s="39"/>
    </row>
    <row r="65" spans="1:13" ht="16.5" hidden="1" customHeight="1" x14ac:dyDescent="0.3">
      <c r="A65" s="175">
        <v>211223</v>
      </c>
      <c r="B65" s="171" t="s">
        <v>723</v>
      </c>
      <c r="C65" s="198">
        <v>12</v>
      </c>
      <c r="D65" s="197" t="s">
        <v>1056</v>
      </c>
      <c r="E65" s="196">
        <v>211223</v>
      </c>
      <c r="F65" s="39"/>
      <c r="G65" s="39"/>
    </row>
    <row r="66" spans="1:13" ht="16.5" hidden="1" x14ac:dyDescent="0.3">
      <c r="A66" s="175">
        <v>211228</v>
      </c>
      <c r="B66" s="171" t="s">
        <v>724</v>
      </c>
      <c r="C66" s="198">
        <v>12</v>
      </c>
      <c r="D66" s="197" t="s">
        <v>1154</v>
      </c>
      <c r="E66" s="196">
        <v>211228</v>
      </c>
      <c r="F66" s="39"/>
      <c r="G66" s="39"/>
    </row>
    <row r="67" spans="1:13" ht="16.5" hidden="1" customHeight="1" x14ac:dyDescent="0.3">
      <c r="A67" s="175"/>
      <c r="B67" s="171" t="s">
        <v>725</v>
      </c>
      <c r="C67" s="198"/>
      <c r="D67" s="197"/>
      <c r="E67" s="196"/>
      <c r="F67" s="39"/>
      <c r="G67" s="39"/>
    </row>
    <row r="68" spans="1:13" ht="16.5" hidden="1" customHeight="1" x14ac:dyDescent="0.3">
      <c r="A68" s="175"/>
      <c r="B68" s="171" t="s">
        <v>726</v>
      </c>
      <c r="C68" s="198"/>
      <c r="D68" s="197"/>
      <c r="E68" s="196"/>
      <c r="F68" s="39"/>
      <c r="G68" s="39"/>
    </row>
    <row r="69" spans="1:13" ht="16.5" hidden="1" customHeight="1" x14ac:dyDescent="0.3">
      <c r="A69" s="175">
        <v>210101</v>
      </c>
      <c r="B69" s="173" t="s">
        <v>612</v>
      </c>
      <c r="C69" s="198">
        <v>1</v>
      </c>
      <c r="D69" s="197" t="s">
        <v>1155</v>
      </c>
      <c r="E69" s="196">
        <v>210101</v>
      </c>
      <c r="F69" s="197"/>
      <c r="G69" s="39"/>
      <c r="L69" s="176"/>
      <c r="M69" s="175"/>
    </row>
    <row r="70" spans="1:13" ht="16.5" hidden="1" customHeight="1" x14ac:dyDescent="0.3">
      <c r="A70" s="175">
        <v>210102</v>
      </c>
      <c r="B70" s="173" t="s">
        <v>727</v>
      </c>
      <c r="C70" s="198">
        <v>1</v>
      </c>
      <c r="D70" s="197" t="s">
        <v>1057</v>
      </c>
      <c r="E70" s="196">
        <v>210102</v>
      </c>
      <c r="F70" s="197"/>
      <c r="G70" s="39"/>
      <c r="L70" s="176"/>
      <c r="M70" s="175"/>
    </row>
    <row r="71" spans="1:13" ht="16.5" hidden="1" customHeight="1" x14ac:dyDescent="0.3">
      <c r="A71" s="175">
        <v>210103</v>
      </c>
      <c r="B71" s="173" t="s">
        <v>534</v>
      </c>
      <c r="C71" s="198">
        <v>1</v>
      </c>
      <c r="D71" s="197" t="s">
        <v>1156</v>
      </c>
      <c r="E71" s="196">
        <v>210103</v>
      </c>
      <c r="F71" s="197"/>
      <c r="G71" s="39"/>
      <c r="L71" s="177"/>
      <c r="M71" s="175"/>
    </row>
    <row r="72" spans="1:13" ht="16.5" hidden="1" customHeight="1" x14ac:dyDescent="0.3">
      <c r="A72" s="175">
        <v>210104</v>
      </c>
      <c r="B72" s="173" t="s">
        <v>531</v>
      </c>
      <c r="C72" s="198">
        <v>1</v>
      </c>
      <c r="D72" s="197" t="s">
        <v>1058</v>
      </c>
      <c r="E72" s="196">
        <v>210104</v>
      </c>
      <c r="F72" s="197"/>
      <c r="G72" s="39"/>
      <c r="L72" s="178"/>
      <c r="M72" s="175"/>
    </row>
    <row r="73" spans="1:13" ht="16.5" hidden="1" customHeight="1" x14ac:dyDescent="0.3">
      <c r="A73" s="175">
        <v>210105</v>
      </c>
      <c r="B73" s="173" t="s">
        <v>528</v>
      </c>
      <c r="C73" s="198">
        <v>1</v>
      </c>
      <c r="D73" s="197" t="s">
        <v>1059</v>
      </c>
      <c r="E73" s="196">
        <v>210105</v>
      </c>
      <c r="F73" s="197"/>
      <c r="G73" s="39"/>
      <c r="L73" s="178"/>
      <c r="M73" s="175"/>
    </row>
    <row r="74" spans="1:13" ht="16.5" hidden="1" customHeight="1" x14ac:dyDescent="0.3">
      <c r="A74" s="175">
        <v>210109</v>
      </c>
      <c r="B74" s="173" t="s">
        <v>604</v>
      </c>
      <c r="C74" s="198">
        <v>1</v>
      </c>
      <c r="D74" s="197" t="s">
        <v>1060</v>
      </c>
      <c r="E74" s="196">
        <v>210109</v>
      </c>
      <c r="F74" s="197"/>
      <c r="G74" s="39"/>
    </row>
    <row r="75" spans="1:13" ht="16.5" hidden="1" customHeight="1" x14ac:dyDescent="0.3">
      <c r="A75" s="175">
        <v>210110</v>
      </c>
      <c r="B75" s="173" t="s">
        <v>607</v>
      </c>
      <c r="C75" s="198">
        <v>1</v>
      </c>
      <c r="D75" s="197" t="s">
        <v>1157</v>
      </c>
      <c r="E75" s="196">
        <v>210110</v>
      </c>
      <c r="F75" s="197"/>
      <c r="G75" s="39"/>
    </row>
    <row r="76" spans="1:13" ht="16.5" hidden="1" x14ac:dyDescent="0.3">
      <c r="A76" s="175">
        <v>210112</v>
      </c>
      <c r="B76" s="173" t="s">
        <v>610</v>
      </c>
      <c r="C76" s="198">
        <v>1</v>
      </c>
      <c r="D76" s="197" t="s">
        <v>1158</v>
      </c>
      <c r="E76" s="196">
        <v>210112</v>
      </c>
      <c r="F76" s="197"/>
      <c r="G76" s="39"/>
    </row>
    <row r="77" spans="1:13" ht="16.5" hidden="1" customHeight="1" x14ac:dyDescent="0.3">
      <c r="A77" s="175">
        <v>210113</v>
      </c>
      <c r="B77" s="173" t="s">
        <v>592</v>
      </c>
      <c r="C77" s="198">
        <v>1</v>
      </c>
      <c r="D77" s="197" t="s">
        <v>1061</v>
      </c>
      <c r="E77" s="196">
        <v>210113</v>
      </c>
      <c r="F77" s="197"/>
      <c r="G77" s="39"/>
    </row>
    <row r="78" spans="1:13" ht="16.5" hidden="1" customHeight="1" x14ac:dyDescent="0.3">
      <c r="A78" s="175">
        <v>210114</v>
      </c>
      <c r="B78" s="173" t="s">
        <v>540</v>
      </c>
      <c r="C78" s="198">
        <v>1</v>
      </c>
      <c r="D78" s="197" t="s">
        <v>1062</v>
      </c>
      <c r="E78" s="196">
        <v>210114</v>
      </c>
      <c r="F78" s="197"/>
      <c r="G78" s="39"/>
    </row>
    <row r="79" spans="1:13" ht="16.5" hidden="1" customHeight="1" x14ac:dyDescent="0.3">
      <c r="A79" s="175">
        <v>210115</v>
      </c>
      <c r="B79" s="173" t="s">
        <v>543</v>
      </c>
      <c r="C79" s="198">
        <v>1</v>
      </c>
      <c r="D79" s="197" t="s">
        <v>1159</v>
      </c>
      <c r="E79" s="196">
        <v>210115</v>
      </c>
      <c r="F79" s="197"/>
      <c r="G79" s="39"/>
    </row>
    <row r="80" spans="1:13" ht="16.5" hidden="1" customHeight="1" x14ac:dyDescent="0.3">
      <c r="A80" s="175">
        <v>210116</v>
      </c>
      <c r="B80" s="173" t="s">
        <v>523</v>
      </c>
      <c r="C80" s="198">
        <v>1</v>
      </c>
      <c r="D80" s="197" t="s">
        <v>1063</v>
      </c>
      <c r="E80" s="196">
        <v>210116</v>
      </c>
      <c r="F80" s="197"/>
      <c r="G80" s="39"/>
    </row>
    <row r="81" spans="1:7" ht="16.5" hidden="1" customHeight="1" x14ac:dyDescent="0.3">
      <c r="A81" s="175">
        <v>210117</v>
      </c>
      <c r="B81" s="173" t="s">
        <v>520</v>
      </c>
      <c r="C81" s="198">
        <v>1</v>
      </c>
      <c r="D81" s="197" t="s">
        <v>1160</v>
      </c>
      <c r="E81" s="196">
        <v>210117</v>
      </c>
      <c r="F81" s="197"/>
      <c r="G81" s="39"/>
    </row>
    <row r="82" spans="1:7" ht="16.5" hidden="1" customHeight="1" x14ac:dyDescent="0.3">
      <c r="A82" s="175">
        <v>210118</v>
      </c>
      <c r="B82" s="173" t="s">
        <v>517</v>
      </c>
      <c r="C82" s="198">
        <v>1</v>
      </c>
      <c r="D82" s="197" t="s">
        <v>1064</v>
      </c>
      <c r="E82" s="196">
        <v>210118</v>
      </c>
      <c r="F82" s="197"/>
      <c r="G82" s="39"/>
    </row>
    <row r="83" spans="1:7" ht="16.5" hidden="1" customHeight="1" x14ac:dyDescent="0.3">
      <c r="A83" s="175">
        <v>210120</v>
      </c>
      <c r="B83" s="173" t="s">
        <v>601</v>
      </c>
      <c r="C83" s="198">
        <v>1</v>
      </c>
      <c r="D83" s="197" t="s">
        <v>1065</v>
      </c>
      <c r="E83" s="196">
        <v>210120</v>
      </c>
      <c r="F83" s="197"/>
      <c r="G83" s="39"/>
    </row>
    <row r="84" spans="1:7" ht="16.5" hidden="1" customHeight="1" x14ac:dyDescent="0.3">
      <c r="A84" s="175">
        <v>210121</v>
      </c>
      <c r="B84" s="173" t="s">
        <v>598</v>
      </c>
      <c r="C84" s="198">
        <v>1</v>
      </c>
      <c r="D84" s="197" t="s">
        <v>1161</v>
      </c>
      <c r="E84" s="196">
        <v>210121</v>
      </c>
      <c r="F84" s="197"/>
      <c r="G84" s="39"/>
    </row>
    <row r="85" spans="1:7" ht="16.5" hidden="1" customHeight="1" x14ac:dyDescent="0.3">
      <c r="A85" s="175">
        <v>210125</v>
      </c>
      <c r="B85" s="173" t="s">
        <v>595</v>
      </c>
      <c r="C85" s="198">
        <v>1</v>
      </c>
      <c r="D85" s="197" t="s">
        <v>1162</v>
      </c>
      <c r="E85" s="196">
        <v>210125</v>
      </c>
      <c r="F85" s="197"/>
      <c r="G85" s="39"/>
    </row>
    <row r="86" spans="1:7" ht="16.5" hidden="1" customHeight="1" x14ac:dyDescent="0.3">
      <c r="A86" s="175">
        <v>210126</v>
      </c>
      <c r="B86" s="173" t="s">
        <v>552</v>
      </c>
      <c r="C86" s="198">
        <v>1</v>
      </c>
      <c r="D86" s="197" t="s">
        <v>1163</v>
      </c>
      <c r="E86" s="196">
        <v>210126</v>
      </c>
      <c r="F86" s="197"/>
      <c r="G86" s="39"/>
    </row>
    <row r="87" spans="1:7" ht="16.5" hidden="1" customHeight="1" x14ac:dyDescent="0.3">
      <c r="A87" s="175">
        <v>210127</v>
      </c>
      <c r="B87" s="173" t="s">
        <v>549</v>
      </c>
      <c r="C87" s="198">
        <v>1</v>
      </c>
      <c r="D87" s="197" t="s">
        <v>1066</v>
      </c>
      <c r="E87" s="196">
        <v>210127</v>
      </c>
      <c r="F87" s="197"/>
      <c r="G87" s="39"/>
    </row>
    <row r="88" spans="1:7" ht="16.5" hidden="1" customHeight="1" x14ac:dyDescent="0.3">
      <c r="A88" s="175">
        <v>210803</v>
      </c>
      <c r="B88" s="173" t="s">
        <v>546</v>
      </c>
      <c r="C88" s="198">
        <v>8</v>
      </c>
      <c r="D88" s="197" t="s">
        <v>1067</v>
      </c>
      <c r="E88" s="196">
        <v>210803</v>
      </c>
      <c r="F88" s="197"/>
      <c r="G88" s="39"/>
    </row>
    <row r="89" spans="1:7" ht="16.5" hidden="1" customHeight="1" x14ac:dyDescent="0.3">
      <c r="A89" s="175">
        <v>210805</v>
      </c>
      <c r="B89" s="173" t="s">
        <v>511</v>
      </c>
      <c r="C89" s="198">
        <v>8</v>
      </c>
      <c r="D89" s="197" t="s">
        <v>1068</v>
      </c>
      <c r="E89" s="196">
        <v>210805</v>
      </c>
      <c r="F89" s="197"/>
      <c r="G89" s="39"/>
    </row>
    <row r="90" spans="1:7" ht="16.5" hidden="1" customHeight="1" x14ac:dyDescent="0.3">
      <c r="A90" s="175">
        <v>210807</v>
      </c>
      <c r="B90" s="173" t="s">
        <v>514</v>
      </c>
      <c r="C90" s="198">
        <v>8</v>
      </c>
      <c r="D90" s="197" t="s">
        <v>1069</v>
      </c>
      <c r="E90" s="196">
        <v>210807</v>
      </c>
      <c r="F90" s="197"/>
      <c r="G90" s="39"/>
    </row>
    <row r="91" spans="1:7" ht="16.5" hidden="1" customHeight="1" x14ac:dyDescent="0.3">
      <c r="A91" s="175">
        <v>210809</v>
      </c>
      <c r="B91" s="173" t="s">
        <v>580</v>
      </c>
      <c r="C91" s="198">
        <v>8</v>
      </c>
      <c r="D91" s="197" t="s">
        <v>1070</v>
      </c>
      <c r="E91" s="196">
        <v>210809</v>
      </c>
      <c r="F91" s="197"/>
      <c r="G91" s="39"/>
    </row>
    <row r="92" spans="1:7" ht="16.5" hidden="1" customHeight="1" x14ac:dyDescent="0.3">
      <c r="A92" s="175">
        <v>210811</v>
      </c>
      <c r="B92" s="173" t="s">
        <v>583</v>
      </c>
      <c r="C92" s="198">
        <v>8</v>
      </c>
      <c r="D92" s="197" t="s">
        <v>1071</v>
      </c>
      <c r="E92" s="196">
        <v>210811</v>
      </c>
      <c r="F92" s="197"/>
      <c r="G92" s="39"/>
    </row>
    <row r="93" spans="1:7" ht="16.5" hidden="1" customHeight="1" x14ac:dyDescent="0.3">
      <c r="A93" s="175">
        <v>210812</v>
      </c>
      <c r="B93" s="173" t="s">
        <v>586</v>
      </c>
      <c r="C93" s="198">
        <v>8</v>
      </c>
      <c r="D93" s="197" t="s">
        <v>1072</v>
      </c>
      <c r="E93" s="196">
        <v>210812</v>
      </c>
      <c r="F93" s="197"/>
      <c r="G93" s="39"/>
    </row>
    <row r="94" spans="1:7" ht="16.5" hidden="1" customHeight="1" x14ac:dyDescent="0.3">
      <c r="A94" s="175">
        <v>210814</v>
      </c>
      <c r="B94" s="173" t="s">
        <v>589</v>
      </c>
      <c r="C94" s="198">
        <v>8</v>
      </c>
      <c r="D94" s="197" t="s">
        <v>1073</v>
      </c>
      <c r="E94" s="196">
        <v>210814</v>
      </c>
      <c r="F94" s="197"/>
      <c r="G94" s="39"/>
    </row>
    <row r="95" spans="1:7" ht="16.5" hidden="1" customHeight="1" x14ac:dyDescent="0.3">
      <c r="A95" s="175">
        <v>210815</v>
      </c>
      <c r="B95" s="173" t="s">
        <v>557</v>
      </c>
      <c r="C95" s="198">
        <v>8</v>
      </c>
      <c r="D95" s="197" t="s">
        <v>1074</v>
      </c>
      <c r="E95" s="196">
        <v>210815</v>
      </c>
      <c r="F95" s="197"/>
      <c r="G95" s="39"/>
    </row>
    <row r="96" spans="1:7" ht="16.5" hidden="1" customHeight="1" x14ac:dyDescent="0.3">
      <c r="A96" s="175">
        <v>210816</v>
      </c>
      <c r="B96" s="173" t="s">
        <v>560</v>
      </c>
      <c r="C96" s="198">
        <v>8</v>
      </c>
      <c r="D96" s="197" t="s">
        <v>1075</v>
      </c>
      <c r="E96" s="196">
        <v>210816</v>
      </c>
      <c r="F96" s="197"/>
      <c r="G96" s="39"/>
    </row>
    <row r="97" spans="1:7" ht="16.5" hidden="1" customHeight="1" x14ac:dyDescent="0.3">
      <c r="A97" s="175">
        <v>210817</v>
      </c>
      <c r="B97" s="173" t="s">
        <v>508</v>
      </c>
      <c r="C97" s="198">
        <v>8</v>
      </c>
      <c r="D97" s="197" t="s">
        <v>1076</v>
      </c>
      <c r="E97" s="196">
        <v>210817</v>
      </c>
      <c r="F97" s="197"/>
      <c r="G97" s="39"/>
    </row>
    <row r="98" spans="1:7" ht="16.5" hidden="1" customHeight="1" x14ac:dyDescent="0.3">
      <c r="A98" s="175">
        <v>210818</v>
      </c>
      <c r="B98" s="173" t="s">
        <v>567</v>
      </c>
      <c r="C98" s="198">
        <v>8</v>
      </c>
      <c r="D98" s="197" t="s">
        <v>1077</v>
      </c>
      <c r="E98" s="196">
        <v>210818</v>
      </c>
      <c r="F98" s="197"/>
      <c r="G98" s="39"/>
    </row>
    <row r="99" spans="1:7" ht="16.5" hidden="1" customHeight="1" x14ac:dyDescent="0.3">
      <c r="A99" s="175">
        <v>210820</v>
      </c>
      <c r="B99" s="173" t="s">
        <v>499</v>
      </c>
      <c r="C99" s="198">
        <v>8</v>
      </c>
      <c r="D99" s="197" t="s">
        <v>1078</v>
      </c>
      <c r="E99" s="196">
        <v>210820</v>
      </c>
      <c r="F99" s="197"/>
      <c r="G99" s="39"/>
    </row>
    <row r="100" spans="1:7" ht="16.5" hidden="1" x14ac:dyDescent="0.3">
      <c r="A100" s="175">
        <v>210822</v>
      </c>
      <c r="B100" s="173" t="s">
        <v>577</v>
      </c>
      <c r="C100" s="198">
        <v>8</v>
      </c>
      <c r="D100" s="197" t="s">
        <v>1079</v>
      </c>
      <c r="E100" s="196">
        <v>210822</v>
      </c>
      <c r="F100" s="197"/>
      <c r="G100" s="39"/>
    </row>
    <row r="101" spans="1:7" ht="16.5" hidden="1" customHeight="1" x14ac:dyDescent="0.3">
      <c r="A101" s="175">
        <v>210823</v>
      </c>
      <c r="B101" s="173" t="s">
        <v>574</v>
      </c>
      <c r="C101" s="198">
        <v>8</v>
      </c>
      <c r="D101" s="197" t="s">
        <v>1080</v>
      </c>
      <c r="E101" s="196">
        <v>210823</v>
      </c>
      <c r="F101" s="197"/>
      <c r="G101" s="39"/>
    </row>
    <row r="102" spans="1:7" ht="16.5" hidden="1" customHeight="1" x14ac:dyDescent="0.3">
      <c r="A102" s="175">
        <v>210825</v>
      </c>
      <c r="B102" s="173" t="s">
        <v>571</v>
      </c>
      <c r="C102" s="198">
        <v>8</v>
      </c>
      <c r="D102" s="197" t="s">
        <v>1081</v>
      </c>
      <c r="E102" s="196">
        <v>210825</v>
      </c>
      <c r="F102" s="197"/>
      <c r="G102" s="39"/>
    </row>
    <row r="103" spans="1:7" ht="16.5" hidden="1" customHeight="1" x14ac:dyDescent="0.3">
      <c r="A103" s="175">
        <v>210828</v>
      </c>
      <c r="B103" s="173" t="s">
        <v>554</v>
      </c>
      <c r="C103" s="198">
        <v>8</v>
      </c>
      <c r="D103" s="197" t="s">
        <v>1082</v>
      </c>
      <c r="E103" s="196">
        <v>210828</v>
      </c>
      <c r="F103" s="197"/>
      <c r="G103" s="39"/>
    </row>
    <row r="104" spans="1:7" ht="16.5" hidden="1" customHeight="1" x14ac:dyDescent="0.3">
      <c r="A104" s="175">
        <v>210901</v>
      </c>
      <c r="B104" s="173" t="s">
        <v>564</v>
      </c>
      <c r="C104" s="198">
        <v>9</v>
      </c>
      <c r="D104" s="197" t="s">
        <v>1083</v>
      </c>
      <c r="E104" s="196">
        <v>210901</v>
      </c>
      <c r="F104" s="39"/>
      <c r="G104" s="39"/>
    </row>
    <row r="105" spans="1:7" ht="16.5" hidden="1" customHeight="1" x14ac:dyDescent="0.3">
      <c r="A105" s="175">
        <v>210902</v>
      </c>
      <c r="B105" s="173" t="s">
        <v>525</v>
      </c>
      <c r="C105" s="198">
        <v>9</v>
      </c>
      <c r="D105" s="197" t="s">
        <v>1084</v>
      </c>
      <c r="E105" s="196">
        <v>210902</v>
      </c>
      <c r="F105" s="39"/>
      <c r="G105" s="39"/>
    </row>
    <row r="106" spans="1:7" ht="16.5" hidden="1" customHeight="1" x14ac:dyDescent="0.3">
      <c r="A106" s="175">
        <v>210903</v>
      </c>
      <c r="B106" s="173" t="s">
        <v>505</v>
      </c>
      <c r="C106" s="198">
        <v>9</v>
      </c>
      <c r="D106" s="197" t="s">
        <v>1085</v>
      </c>
      <c r="E106" s="196">
        <v>210903</v>
      </c>
      <c r="F106" s="39"/>
      <c r="G106" s="39"/>
    </row>
    <row r="107" spans="1:7" ht="16.5" hidden="1" customHeight="1" x14ac:dyDescent="0.3">
      <c r="A107" s="175">
        <v>210904</v>
      </c>
      <c r="B107" s="173" t="s">
        <v>502</v>
      </c>
      <c r="C107" s="198">
        <v>9</v>
      </c>
      <c r="D107" s="197" t="s">
        <v>1086</v>
      </c>
      <c r="E107" s="196">
        <v>210904</v>
      </c>
      <c r="F107" s="39"/>
      <c r="G107" s="39"/>
    </row>
    <row r="108" spans="1:7" ht="16.5" hidden="1" customHeight="1" x14ac:dyDescent="0.3">
      <c r="A108" s="175">
        <v>210106</v>
      </c>
      <c r="B108" s="174" t="s">
        <v>728</v>
      </c>
      <c r="C108" s="198">
        <v>1</v>
      </c>
      <c r="D108" s="197" t="s">
        <v>1029</v>
      </c>
      <c r="E108" s="196">
        <v>210106</v>
      </c>
      <c r="F108" s="39"/>
      <c r="G108" s="39"/>
    </row>
    <row r="109" spans="1:7" ht="16.5" hidden="1" customHeight="1" x14ac:dyDescent="0.3">
      <c r="A109" s="175">
        <v>210107</v>
      </c>
      <c r="B109" s="174" t="s">
        <v>657</v>
      </c>
      <c r="C109" s="198">
        <v>1</v>
      </c>
      <c r="D109" s="197" t="s">
        <v>1030</v>
      </c>
      <c r="E109" s="196">
        <v>210107</v>
      </c>
      <c r="F109" s="39"/>
      <c r="G109" s="39"/>
    </row>
    <row r="110" spans="1:7" ht="16.5" hidden="1" customHeight="1" x14ac:dyDescent="0.3">
      <c r="A110" s="175">
        <v>210108</v>
      </c>
      <c r="B110" s="174" t="s">
        <v>652</v>
      </c>
      <c r="C110" s="198">
        <v>1</v>
      </c>
      <c r="D110" s="197" t="s">
        <v>1031</v>
      </c>
      <c r="E110" s="196">
        <v>210108</v>
      </c>
      <c r="F110" s="39"/>
      <c r="G110" s="39"/>
    </row>
    <row r="111" spans="1:7" ht="16.5" hidden="1" customHeight="1" x14ac:dyDescent="0.3">
      <c r="A111" s="175">
        <v>210111</v>
      </c>
      <c r="B111" s="174" t="s">
        <v>655</v>
      </c>
      <c r="C111" s="198">
        <v>1</v>
      </c>
      <c r="D111" s="197" t="s">
        <v>1032</v>
      </c>
      <c r="E111" s="196">
        <v>210111</v>
      </c>
      <c r="F111" s="39"/>
      <c r="G111" s="39"/>
    </row>
    <row r="112" spans="1:7" ht="16.5" hidden="1" x14ac:dyDescent="0.3">
      <c r="A112" s="175">
        <v>210119</v>
      </c>
      <c r="B112" s="174" t="s">
        <v>630</v>
      </c>
      <c r="C112" s="198">
        <v>1</v>
      </c>
      <c r="D112" s="197" t="s">
        <v>1033</v>
      </c>
      <c r="E112" s="196">
        <v>210119</v>
      </c>
      <c r="F112" s="39"/>
      <c r="G112" s="39"/>
    </row>
    <row r="113" spans="1:7" ht="16.5" hidden="1" customHeight="1" x14ac:dyDescent="0.3">
      <c r="A113" s="175">
        <v>210122</v>
      </c>
      <c r="B113" s="174" t="s">
        <v>614</v>
      </c>
      <c r="C113" s="198">
        <v>1</v>
      </c>
      <c r="D113" s="197" t="s">
        <v>1034</v>
      </c>
      <c r="E113" s="196">
        <v>210122</v>
      </c>
      <c r="F113" s="39"/>
      <c r="G113" s="39"/>
    </row>
    <row r="114" spans="1:7" ht="16.5" hidden="1" customHeight="1" x14ac:dyDescent="0.3">
      <c r="A114" s="175">
        <v>210123</v>
      </c>
      <c r="B114" s="174" t="s">
        <v>649</v>
      </c>
      <c r="C114" s="198">
        <v>1</v>
      </c>
      <c r="D114" s="197" t="s">
        <v>1035</v>
      </c>
      <c r="E114" s="196">
        <v>210123</v>
      </c>
      <c r="F114" s="39"/>
      <c r="G114" s="39"/>
    </row>
    <row r="115" spans="1:7" ht="16.5" hidden="1" customHeight="1" x14ac:dyDescent="0.3">
      <c r="A115" s="175">
        <v>210124</v>
      </c>
      <c r="B115" s="174" t="s">
        <v>647</v>
      </c>
      <c r="C115" s="198">
        <v>1</v>
      </c>
      <c r="D115" s="197" t="s">
        <v>1036</v>
      </c>
      <c r="E115" s="196">
        <v>210124</v>
      </c>
      <c r="F115" s="39"/>
      <c r="G115" s="39"/>
    </row>
    <row r="116" spans="1:7" ht="16.5" hidden="1" customHeight="1" x14ac:dyDescent="0.3">
      <c r="A116" s="175">
        <v>210128</v>
      </c>
      <c r="B116" s="174" t="s">
        <v>643</v>
      </c>
      <c r="C116" s="198">
        <v>1</v>
      </c>
      <c r="D116" s="197" t="s">
        <v>1037</v>
      </c>
      <c r="E116" s="196">
        <v>210128</v>
      </c>
      <c r="F116" s="39"/>
      <c r="G116" s="39"/>
    </row>
    <row r="117" spans="1:7" ht="16.5" hidden="1" customHeight="1" x14ac:dyDescent="0.3">
      <c r="A117" s="175">
        <v>210801</v>
      </c>
      <c r="B117" s="174" t="s">
        <v>626</v>
      </c>
      <c r="C117" s="198">
        <v>8</v>
      </c>
      <c r="D117" s="197" t="s">
        <v>1112</v>
      </c>
      <c r="E117" s="196">
        <v>210801</v>
      </c>
      <c r="F117" s="39"/>
      <c r="G117" s="39"/>
    </row>
    <row r="118" spans="1:7" ht="16.5" hidden="1" customHeight="1" x14ac:dyDescent="0.3">
      <c r="A118" s="175">
        <v>210802</v>
      </c>
      <c r="B118" s="174" t="s">
        <v>729</v>
      </c>
      <c r="C118" s="198">
        <v>8</v>
      </c>
      <c r="D118" s="197" t="s">
        <v>1113</v>
      </c>
      <c r="E118" s="196">
        <v>210802</v>
      </c>
      <c r="F118" s="39"/>
      <c r="G118" s="39"/>
    </row>
    <row r="119" spans="1:7" ht="16.5" hidden="1" customHeight="1" x14ac:dyDescent="0.3">
      <c r="A119" s="175">
        <v>210804</v>
      </c>
      <c r="B119" s="174" t="s">
        <v>641</v>
      </c>
      <c r="C119" s="198">
        <v>8</v>
      </c>
      <c r="D119" s="197" t="s">
        <v>1114</v>
      </c>
      <c r="E119" s="196">
        <v>210804</v>
      </c>
      <c r="F119" s="39"/>
      <c r="G119" s="39"/>
    </row>
    <row r="120" spans="1:7" ht="16.5" hidden="1" customHeight="1" x14ac:dyDescent="0.3">
      <c r="A120" s="175">
        <v>210806</v>
      </c>
      <c r="B120" s="174" t="s">
        <v>623</v>
      </c>
      <c r="C120" s="198">
        <v>8</v>
      </c>
      <c r="D120" s="197" t="s">
        <v>1115</v>
      </c>
      <c r="E120" s="196">
        <v>210806</v>
      </c>
      <c r="F120" s="39"/>
      <c r="G120" s="39"/>
    </row>
    <row r="121" spans="1:7" ht="16.5" hidden="1" customHeight="1" x14ac:dyDescent="0.3">
      <c r="A121" s="175">
        <v>210808</v>
      </c>
      <c r="B121" s="174" t="s">
        <v>620</v>
      </c>
      <c r="C121" s="198">
        <v>8</v>
      </c>
      <c r="D121" s="197" t="s">
        <v>1116</v>
      </c>
      <c r="E121" s="196">
        <v>210808</v>
      </c>
      <c r="F121" s="39"/>
      <c r="G121" s="39"/>
    </row>
    <row r="122" spans="1:7" ht="16.5" hidden="1" customHeight="1" x14ac:dyDescent="0.3">
      <c r="A122" s="175">
        <v>210810</v>
      </c>
      <c r="B122" s="174" t="s">
        <v>637</v>
      </c>
      <c r="C122" s="198">
        <v>8</v>
      </c>
      <c r="D122" s="197" t="s">
        <v>1117</v>
      </c>
      <c r="E122" s="196">
        <v>210810</v>
      </c>
      <c r="F122" s="39"/>
      <c r="G122" s="39"/>
    </row>
    <row r="123" spans="1:7" ht="16.5" hidden="1" customHeight="1" x14ac:dyDescent="0.3">
      <c r="A123" s="175">
        <v>210813</v>
      </c>
      <c r="B123" s="174" t="s">
        <v>635</v>
      </c>
      <c r="C123" s="198">
        <v>8</v>
      </c>
      <c r="D123" s="197" t="s">
        <v>1038</v>
      </c>
      <c r="E123" s="196">
        <v>210813</v>
      </c>
      <c r="F123" s="39"/>
      <c r="G123" s="39"/>
    </row>
    <row r="124" spans="1:7" ht="16.5" hidden="1" customHeight="1" x14ac:dyDescent="0.3">
      <c r="A124" s="175">
        <v>210819</v>
      </c>
      <c r="B124" s="174" t="s">
        <v>632</v>
      </c>
      <c r="C124" s="198">
        <v>8</v>
      </c>
      <c r="D124" s="197" t="s">
        <v>1039</v>
      </c>
      <c r="E124" s="196">
        <v>210819</v>
      </c>
      <c r="F124" s="39"/>
      <c r="G124" s="39"/>
    </row>
    <row r="125" spans="1:7" ht="16.5" hidden="1" x14ac:dyDescent="0.3">
      <c r="A125" s="175">
        <v>210821</v>
      </c>
      <c r="B125" s="174" t="s">
        <v>617</v>
      </c>
      <c r="C125" s="198">
        <v>8</v>
      </c>
      <c r="D125" s="197" t="s">
        <v>1040</v>
      </c>
      <c r="E125" s="196">
        <v>210821</v>
      </c>
      <c r="F125" s="39"/>
      <c r="G125" s="39"/>
    </row>
    <row r="126" spans="1:7" ht="16.5" hidden="1" customHeight="1" x14ac:dyDescent="0.3">
      <c r="A126" s="175">
        <v>210906</v>
      </c>
      <c r="B126" s="172" t="s">
        <v>827</v>
      </c>
      <c r="C126" s="198">
        <v>9</v>
      </c>
      <c r="D126" s="197" t="s">
        <v>1087</v>
      </c>
      <c r="E126" s="196">
        <v>210906</v>
      </c>
      <c r="F126" s="197"/>
      <c r="G126" s="39"/>
    </row>
    <row r="127" spans="1:7" ht="16.5" hidden="1" customHeight="1" x14ac:dyDescent="0.3">
      <c r="A127" s="175">
        <v>210907</v>
      </c>
      <c r="B127" s="172" t="s">
        <v>972</v>
      </c>
      <c r="C127" s="198">
        <v>9</v>
      </c>
      <c r="D127" s="197" t="s">
        <v>1088</v>
      </c>
      <c r="E127" s="196">
        <v>210907</v>
      </c>
      <c r="F127" s="197"/>
      <c r="G127" s="39"/>
    </row>
    <row r="128" spans="1:7" ht="16.5" hidden="1" customHeight="1" x14ac:dyDescent="0.3">
      <c r="A128" s="175">
        <v>210908</v>
      </c>
      <c r="B128" s="172" t="s">
        <v>831</v>
      </c>
      <c r="C128" s="198">
        <v>9</v>
      </c>
      <c r="D128" s="197" t="s">
        <v>1001</v>
      </c>
      <c r="E128" s="196">
        <v>210908</v>
      </c>
      <c r="F128" s="197"/>
      <c r="G128" s="39"/>
    </row>
    <row r="129" spans="1:9" ht="16.5" hidden="1" customHeight="1" x14ac:dyDescent="0.3">
      <c r="A129" s="175">
        <v>210910</v>
      </c>
      <c r="B129" s="172" t="s">
        <v>825</v>
      </c>
      <c r="C129" s="198">
        <v>9</v>
      </c>
      <c r="D129" s="197" t="s">
        <v>1089</v>
      </c>
      <c r="E129" s="196">
        <v>210910</v>
      </c>
      <c r="F129" s="197"/>
      <c r="G129" s="39"/>
    </row>
    <row r="130" spans="1:9" ht="16.5" hidden="1" customHeight="1" x14ac:dyDescent="0.3">
      <c r="A130" s="175">
        <v>210912</v>
      </c>
      <c r="B130" s="172" t="s">
        <v>973</v>
      </c>
      <c r="C130" s="198">
        <v>9</v>
      </c>
      <c r="D130" s="197" t="s">
        <v>1060</v>
      </c>
      <c r="E130" s="196">
        <v>210912</v>
      </c>
      <c r="F130" s="197"/>
      <c r="G130" s="39"/>
    </row>
    <row r="131" spans="1:9" ht="16.5" hidden="1" customHeight="1" x14ac:dyDescent="0.3">
      <c r="A131" s="175">
        <v>210914</v>
      </c>
      <c r="B131" s="172" t="s">
        <v>819</v>
      </c>
      <c r="C131" s="198">
        <v>9</v>
      </c>
      <c r="D131" s="197" t="s">
        <v>1090</v>
      </c>
      <c r="E131" s="196">
        <v>210914</v>
      </c>
      <c r="F131" s="197"/>
      <c r="G131" s="39"/>
    </row>
    <row r="132" spans="1:9" ht="16.5" hidden="1" customHeight="1" x14ac:dyDescent="0.3">
      <c r="A132" s="175">
        <v>210915</v>
      </c>
      <c r="B132" s="172" t="s">
        <v>816</v>
      </c>
      <c r="C132" s="198">
        <v>9</v>
      </c>
      <c r="D132" s="197" t="s">
        <v>1091</v>
      </c>
      <c r="E132" s="196">
        <v>210915</v>
      </c>
      <c r="F132" s="197"/>
      <c r="G132" s="39"/>
    </row>
    <row r="133" spans="1:9" ht="16.5" hidden="1" customHeight="1" x14ac:dyDescent="0.3">
      <c r="A133" s="175">
        <v>210917</v>
      </c>
      <c r="B133" s="172" t="s">
        <v>813</v>
      </c>
      <c r="C133" s="198">
        <v>9</v>
      </c>
      <c r="D133" s="197" t="s">
        <v>1092</v>
      </c>
      <c r="E133" s="196">
        <v>210917</v>
      </c>
      <c r="F133" s="197"/>
      <c r="G133" s="39"/>
      <c r="I133" s="36"/>
    </row>
    <row r="134" spans="1:9" ht="16.5" hidden="1" customHeight="1" x14ac:dyDescent="0.3">
      <c r="A134" s="175">
        <v>210920</v>
      </c>
      <c r="B134" s="172" t="s">
        <v>833</v>
      </c>
      <c r="C134" s="198">
        <v>9</v>
      </c>
      <c r="D134" s="197" t="s">
        <v>1093</v>
      </c>
      <c r="E134" s="196">
        <v>210920</v>
      </c>
      <c r="F134" s="197"/>
      <c r="G134" s="39"/>
      <c r="I134" s="36"/>
    </row>
    <row r="135" spans="1:9" ht="16.5" hidden="1" x14ac:dyDescent="0.3">
      <c r="A135" s="175">
        <v>210923</v>
      </c>
      <c r="B135" s="172" t="s">
        <v>836</v>
      </c>
      <c r="C135" s="198">
        <v>9</v>
      </c>
      <c r="D135" s="197" t="s">
        <v>1094</v>
      </c>
      <c r="E135" s="196">
        <v>210923</v>
      </c>
      <c r="F135" s="197"/>
      <c r="G135" s="39"/>
      <c r="I135" s="36"/>
    </row>
    <row r="136" spans="1:9" ht="16.5" hidden="1" customHeight="1" x14ac:dyDescent="0.3">
      <c r="A136" s="175">
        <v>210924</v>
      </c>
      <c r="B136" s="172" t="s">
        <v>838</v>
      </c>
      <c r="C136" s="198">
        <v>9</v>
      </c>
      <c r="D136" s="197" t="s">
        <v>1095</v>
      </c>
      <c r="E136" s="196">
        <v>210924</v>
      </c>
      <c r="F136" s="197"/>
      <c r="G136" s="39"/>
      <c r="I136" s="36"/>
    </row>
    <row r="137" spans="1:9" ht="16.5" hidden="1" customHeight="1" x14ac:dyDescent="0.3">
      <c r="A137" s="175">
        <v>211001</v>
      </c>
      <c r="B137" s="172" t="s">
        <v>808</v>
      </c>
      <c r="C137" s="198">
        <v>10</v>
      </c>
      <c r="D137" s="197" t="s">
        <v>999</v>
      </c>
      <c r="E137" s="196">
        <v>211001</v>
      </c>
      <c r="F137" s="197"/>
      <c r="G137" s="39"/>
    </row>
    <row r="138" spans="1:9" ht="16.5" hidden="1" customHeight="1" x14ac:dyDescent="0.3">
      <c r="A138" s="175">
        <v>211003</v>
      </c>
      <c r="B138" s="172" t="s">
        <v>809</v>
      </c>
      <c r="C138" s="198">
        <v>10</v>
      </c>
      <c r="D138" s="197" t="s">
        <v>1000</v>
      </c>
      <c r="E138" s="196">
        <v>211003</v>
      </c>
      <c r="F138" s="197"/>
      <c r="G138" s="39"/>
    </row>
    <row r="139" spans="1:9" ht="16.5" hidden="1" customHeight="1" x14ac:dyDescent="0.3">
      <c r="A139" s="175">
        <v>211007</v>
      </c>
      <c r="B139" s="172" t="s">
        <v>796</v>
      </c>
      <c r="C139" s="198">
        <v>10</v>
      </c>
      <c r="D139" s="197" t="s">
        <v>1001</v>
      </c>
      <c r="E139" s="196">
        <v>211007</v>
      </c>
      <c r="F139" s="197"/>
      <c r="G139" s="39"/>
    </row>
    <row r="140" spans="1:9" ht="16.5" hidden="1" customHeight="1" x14ac:dyDescent="0.3">
      <c r="A140" s="175">
        <v>211008</v>
      </c>
      <c r="B140" s="172" t="s">
        <v>841</v>
      </c>
      <c r="C140" s="198">
        <v>10</v>
      </c>
      <c r="D140" s="197" t="s">
        <v>1002</v>
      </c>
      <c r="E140" s="196">
        <v>211008</v>
      </c>
      <c r="F140" s="197"/>
      <c r="G140" s="39"/>
      <c r="I140" s="36"/>
    </row>
    <row r="141" spans="1:9" ht="16.5" hidden="1" customHeight="1" x14ac:dyDescent="0.3">
      <c r="A141" s="175">
        <v>211009</v>
      </c>
      <c r="B141" s="172" t="s">
        <v>805</v>
      </c>
      <c r="C141" s="198">
        <v>10</v>
      </c>
      <c r="D141" s="197" t="s">
        <v>1003</v>
      </c>
      <c r="E141" s="196">
        <v>211009</v>
      </c>
      <c r="F141" s="197"/>
      <c r="G141" s="39"/>
    </row>
    <row r="142" spans="1:9" ht="16.5" hidden="1" customHeight="1" x14ac:dyDescent="0.3">
      <c r="A142" s="175">
        <v>211012</v>
      </c>
      <c r="B142" s="172" t="s">
        <v>802</v>
      </c>
      <c r="C142" s="198">
        <v>10</v>
      </c>
      <c r="D142" s="197" t="s">
        <v>1004</v>
      </c>
      <c r="E142" s="196">
        <v>211012</v>
      </c>
      <c r="F142" s="197"/>
      <c r="G142" s="39"/>
    </row>
    <row r="143" spans="1:9" ht="16.5" hidden="1" customHeight="1" x14ac:dyDescent="0.3">
      <c r="A143" s="175">
        <v>211015</v>
      </c>
      <c r="B143" s="172" t="s">
        <v>799</v>
      </c>
      <c r="C143" s="198">
        <v>10</v>
      </c>
      <c r="D143" s="197" t="s">
        <v>1005</v>
      </c>
      <c r="E143" s="196">
        <v>211015</v>
      </c>
      <c r="F143" s="197"/>
      <c r="G143" s="39"/>
    </row>
    <row r="144" spans="1:9" ht="16.5" hidden="1" customHeight="1" x14ac:dyDescent="0.3">
      <c r="A144" s="175">
        <v>211017</v>
      </c>
      <c r="B144" s="172" t="s">
        <v>851</v>
      </c>
      <c r="C144" s="198">
        <v>10</v>
      </c>
      <c r="D144" s="197" t="s">
        <v>1006</v>
      </c>
      <c r="E144" s="196">
        <v>211017</v>
      </c>
      <c r="F144" s="197"/>
      <c r="G144" s="39"/>
    </row>
    <row r="145" spans="1:9" ht="16.5" hidden="1" customHeight="1" x14ac:dyDescent="0.3">
      <c r="A145" s="175">
        <v>211019</v>
      </c>
      <c r="B145" s="172" t="s">
        <v>854</v>
      </c>
      <c r="C145" s="198">
        <v>10</v>
      </c>
      <c r="D145" s="197" t="s">
        <v>1007</v>
      </c>
      <c r="E145" s="196">
        <v>211019</v>
      </c>
      <c r="F145" s="197"/>
      <c r="G145" s="39"/>
    </row>
    <row r="146" spans="1:9" ht="16.5" hidden="1" customHeight="1" x14ac:dyDescent="0.3">
      <c r="A146" s="175">
        <v>211022</v>
      </c>
      <c r="B146" s="172" t="s">
        <v>857</v>
      </c>
      <c r="C146" s="198">
        <v>10</v>
      </c>
      <c r="D146" s="197" t="s">
        <v>1008</v>
      </c>
      <c r="E146" s="196">
        <v>211022</v>
      </c>
      <c r="F146" s="197"/>
      <c r="G146" s="39"/>
    </row>
    <row r="147" spans="1:9" ht="16.5" hidden="1" customHeight="1" x14ac:dyDescent="0.3">
      <c r="A147" s="175">
        <v>211102</v>
      </c>
      <c r="B147" s="172" t="s">
        <v>792</v>
      </c>
      <c r="C147" s="198">
        <v>11</v>
      </c>
      <c r="D147" s="197" t="s">
        <v>1015</v>
      </c>
      <c r="E147" s="196">
        <v>211102</v>
      </c>
      <c r="F147" s="197"/>
      <c r="G147" s="39"/>
    </row>
    <row r="148" spans="1:9" ht="16.5" hidden="1" x14ac:dyDescent="0.3">
      <c r="A148" s="175">
        <v>211103</v>
      </c>
      <c r="B148" s="172" t="s">
        <v>789</v>
      </c>
      <c r="C148" s="198">
        <v>11</v>
      </c>
      <c r="D148" s="197" t="s">
        <v>1016</v>
      </c>
      <c r="E148" s="196">
        <v>211103</v>
      </c>
      <c r="F148" s="197"/>
      <c r="G148" s="39"/>
    </row>
    <row r="149" spans="1:9" ht="16.5" hidden="1" customHeight="1" x14ac:dyDescent="0.3">
      <c r="A149" s="175">
        <v>211104</v>
      </c>
      <c r="B149" s="172" t="s">
        <v>786</v>
      </c>
      <c r="C149" s="198">
        <v>11</v>
      </c>
      <c r="D149" s="197" t="s">
        <v>998</v>
      </c>
      <c r="E149" s="196">
        <v>211104</v>
      </c>
      <c r="F149" s="197"/>
      <c r="G149" s="39"/>
    </row>
    <row r="150" spans="1:9" ht="16.5" hidden="1" customHeight="1" x14ac:dyDescent="0.3">
      <c r="A150" s="175">
        <v>211107</v>
      </c>
      <c r="B150" s="172" t="s">
        <v>848</v>
      </c>
      <c r="C150" s="198">
        <v>11</v>
      </c>
      <c r="D150" s="197" t="s">
        <v>1017</v>
      </c>
      <c r="E150" s="196">
        <v>211107</v>
      </c>
      <c r="F150" s="197"/>
      <c r="G150" s="39"/>
    </row>
    <row r="151" spans="1:9" ht="16.5" hidden="1" customHeight="1" x14ac:dyDescent="0.3">
      <c r="A151" s="175">
        <v>211109</v>
      </c>
      <c r="B151" s="172" t="s">
        <v>845</v>
      </c>
      <c r="C151" s="198">
        <v>11</v>
      </c>
      <c r="D151" s="197" t="s">
        <v>1018</v>
      </c>
      <c r="E151" s="196">
        <v>211109</v>
      </c>
      <c r="F151" s="197"/>
      <c r="G151" s="39"/>
    </row>
    <row r="152" spans="1:9" ht="16.5" hidden="1" customHeight="1" x14ac:dyDescent="0.3">
      <c r="A152" s="175">
        <v>211110</v>
      </c>
      <c r="B152" s="172" t="s">
        <v>784</v>
      </c>
      <c r="C152" s="198">
        <v>11</v>
      </c>
      <c r="D152" s="197" t="s">
        <v>1019</v>
      </c>
      <c r="E152" s="196">
        <v>211110</v>
      </c>
      <c r="F152" s="197"/>
      <c r="G152" s="39"/>
    </row>
    <row r="153" spans="1:9" ht="16.5" hidden="1" customHeight="1" x14ac:dyDescent="0.3">
      <c r="A153" s="175">
        <v>211111</v>
      </c>
      <c r="B153" s="172" t="s">
        <v>781</v>
      </c>
      <c r="C153" s="198">
        <v>11</v>
      </c>
      <c r="D153" s="197" t="s">
        <v>1020</v>
      </c>
      <c r="E153" s="196">
        <v>211111</v>
      </c>
      <c r="F153" s="197"/>
      <c r="G153" s="39"/>
    </row>
    <row r="154" spans="1:9" ht="16.5" hidden="1" x14ac:dyDescent="0.3">
      <c r="A154" s="175">
        <v>211114</v>
      </c>
      <c r="B154" s="172" t="s">
        <v>778</v>
      </c>
      <c r="C154" s="198">
        <v>11</v>
      </c>
      <c r="D154" s="197" t="s">
        <v>1021</v>
      </c>
      <c r="E154" s="196">
        <v>211114</v>
      </c>
      <c r="F154" s="197"/>
      <c r="G154" s="39"/>
    </row>
    <row r="155" spans="1:9" ht="16.5" hidden="1" customHeight="1" x14ac:dyDescent="0.3">
      <c r="A155" s="175">
        <v>211117</v>
      </c>
      <c r="B155" s="172" t="s">
        <v>872</v>
      </c>
      <c r="C155" s="198">
        <v>11</v>
      </c>
      <c r="D155" s="197" t="s">
        <v>1022</v>
      </c>
      <c r="E155" s="196">
        <v>211117</v>
      </c>
      <c r="F155" s="197"/>
      <c r="G155" s="39"/>
      <c r="I155" s="36"/>
    </row>
    <row r="156" spans="1:9" ht="16.5" hidden="1" customHeight="1" x14ac:dyDescent="0.3">
      <c r="A156" s="175">
        <v>211118</v>
      </c>
      <c r="B156" s="172" t="s">
        <v>866</v>
      </c>
      <c r="C156" s="198">
        <v>11</v>
      </c>
      <c r="D156" s="197" t="s">
        <v>1023</v>
      </c>
      <c r="E156" s="196">
        <v>211118</v>
      </c>
      <c r="F156" s="197"/>
      <c r="G156" s="39"/>
      <c r="I156" s="36"/>
    </row>
    <row r="157" spans="1:9" ht="16.5" hidden="1" customHeight="1" x14ac:dyDescent="0.3">
      <c r="A157" s="175">
        <v>211121</v>
      </c>
      <c r="B157" s="172" t="s">
        <v>859</v>
      </c>
      <c r="C157" s="198">
        <v>11</v>
      </c>
      <c r="D157" s="197" t="s">
        <v>1024</v>
      </c>
      <c r="E157" s="196">
        <v>211121</v>
      </c>
      <c r="F157" s="197"/>
      <c r="G157" s="39"/>
      <c r="I157" s="36"/>
    </row>
    <row r="158" spans="1:9" ht="16.5" hidden="1" customHeight="1" x14ac:dyDescent="0.3">
      <c r="A158" s="175">
        <v>211122</v>
      </c>
      <c r="B158" s="172" t="s">
        <v>774</v>
      </c>
      <c r="C158" s="198">
        <v>11</v>
      </c>
      <c r="D158" s="197" t="s">
        <v>1025</v>
      </c>
      <c r="E158" s="196">
        <v>211122</v>
      </c>
      <c r="F158" s="197"/>
      <c r="G158" s="39"/>
      <c r="I158" s="36"/>
    </row>
    <row r="159" spans="1:9" ht="16.5" hidden="1" customHeight="1" x14ac:dyDescent="0.3">
      <c r="A159" s="175">
        <v>211126</v>
      </c>
      <c r="B159" s="172" t="s">
        <v>771</v>
      </c>
      <c r="C159" s="198">
        <v>11</v>
      </c>
      <c r="D159" s="197" t="s">
        <v>1026</v>
      </c>
      <c r="E159" s="196">
        <v>211126</v>
      </c>
      <c r="F159" s="197"/>
      <c r="G159" s="39"/>
    </row>
    <row r="160" spans="1:9" ht="16.5" hidden="1" x14ac:dyDescent="0.3">
      <c r="A160" s="175">
        <v>211129</v>
      </c>
      <c r="B160" s="172" t="s">
        <v>760</v>
      </c>
      <c r="C160" s="198">
        <v>11</v>
      </c>
      <c r="D160" s="197" t="s">
        <v>1027</v>
      </c>
      <c r="E160" s="196">
        <v>211129</v>
      </c>
      <c r="F160" s="197"/>
      <c r="G160" s="39"/>
    </row>
    <row r="161" spans="1:7" ht="16.5" hidden="1" customHeight="1" x14ac:dyDescent="0.3">
      <c r="A161" s="175">
        <v>211131</v>
      </c>
      <c r="B161" s="172" t="s">
        <v>868</v>
      </c>
      <c r="C161" s="198">
        <v>11</v>
      </c>
      <c r="D161" s="197" t="s">
        <v>1028</v>
      </c>
      <c r="E161" s="196">
        <v>211131</v>
      </c>
      <c r="F161" s="197"/>
      <c r="G161" s="39"/>
    </row>
    <row r="162" spans="1:7" ht="16.5" hidden="1" customHeight="1" x14ac:dyDescent="0.3">
      <c r="A162" s="175">
        <v>211203</v>
      </c>
      <c r="B162" s="172" t="s">
        <v>862</v>
      </c>
      <c r="C162" s="198">
        <v>12</v>
      </c>
      <c r="D162" s="197" t="s">
        <v>1096</v>
      </c>
      <c r="E162" s="196">
        <v>211203</v>
      </c>
      <c r="F162" s="197"/>
      <c r="G162" s="39"/>
    </row>
    <row r="163" spans="1:7" ht="16.5" hidden="1" customHeight="1" x14ac:dyDescent="0.3">
      <c r="A163" s="175">
        <v>211205</v>
      </c>
      <c r="B163" s="172" t="s">
        <v>769</v>
      </c>
      <c r="C163" s="198">
        <v>12</v>
      </c>
      <c r="D163" s="197" t="s">
        <v>1097</v>
      </c>
      <c r="E163" s="196">
        <v>211205</v>
      </c>
      <c r="F163" s="197"/>
      <c r="G163" s="39"/>
    </row>
    <row r="164" spans="1:7" ht="16.5" hidden="1" customHeight="1" x14ac:dyDescent="0.3">
      <c r="A164" s="175">
        <v>211207</v>
      </c>
      <c r="B164" s="172" t="s">
        <v>766</v>
      </c>
      <c r="C164" s="198">
        <v>12</v>
      </c>
      <c r="D164" s="197" t="s">
        <v>1098</v>
      </c>
      <c r="E164" s="196">
        <v>211207</v>
      </c>
      <c r="F164" s="197"/>
      <c r="G164" s="39"/>
    </row>
    <row r="165" spans="1:7" ht="16.5" hidden="1" customHeight="1" x14ac:dyDescent="0.3">
      <c r="A165" s="175">
        <v>211208</v>
      </c>
      <c r="B165" s="172" t="s">
        <v>763</v>
      </c>
      <c r="C165" s="198">
        <v>12</v>
      </c>
      <c r="D165" s="197" t="s">
        <v>1099</v>
      </c>
      <c r="E165" s="196">
        <v>211208</v>
      </c>
      <c r="F165" s="197"/>
      <c r="G165" s="39"/>
    </row>
    <row r="166" spans="1:7" ht="16.5" hidden="1" customHeight="1" x14ac:dyDescent="0.3">
      <c r="A166" s="175">
        <v>211209</v>
      </c>
      <c r="B166" s="172" t="s">
        <v>745</v>
      </c>
      <c r="C166" s="198">
        <v>12</v>
      </c>
      <c r="D166" s="197" t="s">
        <v>1100</v>
      </c>
      <c r="E166" s="196">
        <v>211209</v>
      </c>
      <c r="F166" s="197"/>
      <c r="G166" s="39"/>
    </row>
    <row r="167" spans="1:7" ht="16.5" hidden="1" x14ac:dyDescent="0.3">
      <c r="A167" s="175">
        <v>211210</v>
      </c>
      <c r="B167" s="172" t="s">
        <v>748</v>
      </c>
      <c r="C167" s="198">
        <v>12</v>
      </c>
      <c r="D167" s="197" t="s">
        <v>1101</v>
      </c>
      <c r="E167" s="196">
        <v>211210</v>
      </c>
      <c r="F167" s="197"/>
      <c r="G167" s="39"/>
    </row>
    <row r="168" spans="1:7" ht="16.5" hidden="1" customHeight="1" x14ac:dyDescent="0.3">
      <c r="A168" s="175">
        <v>211211</v>
      </c>
      <c r="B168" s="172" t="s">
        <v>751</v>
      </c>
      <c r="C168" s="198">
        <v>12</v>
      </c>
      <c r="D168" s="197" t="s">
        <v>1102</v>
      </c>
      <c r="E168" s="196">
        <v>211211</v>
      </c>
      <c r="F168" s="197"/>
      <c r="G168" s="39"/>
    </row>
    <row r="169" spans="1:7" ht="16.5" hidden="1" customHeight="1" x14ac:dyDescent="0.3">
      <c r="A169" s="175">
        <v>211214</v>
      </c>
      <c r="B169" s="172" t="s">
        <v>754</v>
      </c>
      <c r="C169" s="198">
        <v>12</v>
      </c>
      <c r="D169" s="197" t="s">
        <v>1103</v>
      </c>
      <c r="E169" s="196">
        <v>211214</v>
      </c>
      <c r="F169" s="197"/>
      <c r="G169" s="39"/>
    </row>
    <row r="170" spans="1:7" ht="16.5" hidden="1" customHeight="1" x14ac:dyDescent="0.3">
      <c r="A170" s="175">
        <v>211216</v>
      </c>
      <c r="B170" s="172" t="s">
        <v>757</v>
      </c>
      <c r="C170" s="198">
        <v>12</v>
      </c>
      <c r="D170" s="197" t="s">
        <v>1104</v>
      </c>
      <c r="E170" s="196">
        <v>211216</v>
      </c>
      <c r="F170" s="197"/>
      <c r="G170" s="39"/>
    </row>
    <row r="171" spans="1:7" ht="16.5" hidden="1" customHeight="1" x14ac:dyDescent="0.3">
      <c r="A171" s="175">
        <v>211218</v>
      </c>
      <c r="B171" s="172" t="s">
        <v>742</v>
      </c>
      <c r="C171" s="198">
        <v>12</v>
      </c>
      <c r="D171" s="197" t="s">
        <v>1012</v>
      </c>
      <c r="E171" s="196">
        <v>211218</v>
      </c>
      <c r="F171" s="197"/>
      <c r="G171" s="39"/>
    </row>
    <row r="172" spans="1:7" ht="16.5" hidden="1" x14ac:dyDescent="0.3">
      <c r="A172" s="175">
        <v>211219</v>
      </c>
      <c r="B172" s="172" t="s">
        <v>739</v>
      </c>
      <c r="C172" s="198">
        <v>12</v>
      </c>
      <c r="D172" s="197" t="s">
        <v>1105</v>
      </c>
      <c r="E172" s="196">
        <v>211219</v>
      </c>
      <c r="F172" s="197"/>
      <c r="G172" s="39"/>
    </row>
    <row r="173" spans="1:7" ht="16.5" hidden="1" customHeight="1" x14ac:dyDescent="0.3">
      <c r="A173" s="175">
        <v>211220</v>
      </c>
      <c r="B173" s="172" t="s">
        <v>736</v>
      </c>
      <c r="C173" s="198">
        <v>12</v>
      </c>
      <c r="D173" s="197" t="s">
        <v>1106</v>
      </c>
      <c r="E173" s="196">
        <v>211220</v>
      </c>
      <c r="F173" s="197"/>
      <c r="G173" s="39"/>
    </row>
    <row r="174" spans="1:7" ht="16.5" hidden="1" customHeight="1" x14ac:dyDescent="0.3">
      <c r="A174" s="175">
        <v>211222</v>
      </c>
      <c r="B174" s="172" t="s">
        <v>733</v>
      </c>
      <c r="C174" s="198">
        <v>12</v>
      </c>
      <c r="D174" s="197" t="s">
        <v>1107</v>
      </c>
      <c r="E174" s="196">
        <v>211222</v>
      </c>
      <c r="F174" s="197"/>
      <c r="G174" s="39"/>
    </row>
    <row r="175" spans="1:7" ht="16.5" hidden="1" customHeight="1" x14ac:dyDescent="0.3">
      <c r="A175" s="175">
        <v>211224</v>
      </c>
      <c r="B175" s="172" t="s">
        <v>730</v>
      </c>
      <c r="C175" s="198">
        <v>12</v>
      </c>
      <c r="D175" s="197" t="s">
        <v>1108</v>
      </c>
      <c r="E175" s="196">
        <v>211224</v>
      </c>
      <c r="F175" s="197"/>
      <c r="G175" s="39"/>
    </row>
    <row r="176" spans="1:7" ht="16.5" hidden="1" customHeight="1" x14ac:dyDescent="0.3">
      <c r="A176" s="175">
        <v>211225</v>
      </c>
      <c r="B176" s="172" t="s">
        <v>974</v>
      </c>
      <c r="C176" s="198">
        <v>12</v>
      </c>
      <c r="D176" s="197" t="s">
        <v>1109</v>
      </c>
      <c r="E176" s="196">
        <v>211225</v>
      </c>
      <c r="F176" s="197"/>
      <c r="G176" s="39"/>
    </row>
    <row r="177" spans="1:7" ht="16.5" hidden="1" customHeight="1" x14ac:dyDescent="0.3">
      <c r="A177" s="175">
        <v>211226</v>
      </c>
      <c r="B177" s="172" t="s">
        <v>975</v>
      </c>
      <c r="C177" s="198">
        <v>12</v>
      </c>
      <c r="D177" s="197" t="s">
        <v>1110</v>
      </c>
      <c r="E177" s="196">
        <v>211226</v>
      </c>
      <c r="F177" s="197"/>
      <c r="G177" s="39"/>
    </row>
    <row r="178" spans="1:7" ht="16.5" hidden="1" customHeight="1" x14ac:dyDescent="0.3">
      <c r="A178" s="175">
        <v>211227</v>
      </c>
      <c r="B178" s="172" t="s">
        <v>976</v>
      </c>
      <c r="C178" s="198">
        <v>12</v>
      </c>
      <c r="D178" s="197" t="s">
        <v>1111</v>
      </c>
      <c r="E178" s="196">
        <v>211227</v>
      </c>
      <c r="F178" s="197"/>
      <c r="G178" s="39"/>
    </row>
    <row r="179" spans="1:7" ht="16.5" hidden="1" customHeight="1" x14ac:dyDescent="0.3">
      <c r="A179" s="175">
        <v>211023</v>
      </c>
      <c r="B179" s="172" t="s">
        <v>977</v>
      </c>
      <c r="C179" s="198">
        <v>10</v>
      </c>
      <c r="D179" s="197" t="s">
        <v>1009</v>
      </c>
      <c r="E179" s="196">
        <v>211023</v>
      </c>
      <c r="F179" s="197"/>
      <c r="G179" s="39"/>
    </row>
    <row r="180" spans="1:7" ht="16.5" hidden="1" customHeight="1" x14ac:dyDescent="0.3">
      <c r="A180" s="175">
        <v>211025</v>
      </c>
      <c r="B180" s="172" t="s">
        <v>978</v>
      </c>
      <c r="C180" s="198">
        <v>10</v>
      </c>
      <c r="D180" s="197" t="s">
        <v>1010</v>
      </c>
      <c r="E180" s="196">
        <v>211025</v>
      </c>
      <c r="F180" s="197"/>
      <c r="G180" s="39"/>
    </row>
    <row r="181" spans="1:7" ht="16.5" hidden="1" customHeight="1" x14ac:dyDescent="0.3">
      <c r="A181" s="175">
        <v>211026</v>
      </c>
      <c r="B181" s="172" t="s">
        <v>979</v>
      </c>
      <c r="C181" s="198">
        <v>10</v>
      </c>
      <c r="D181" s="197" t="s">
        <v>1011</v>
      </c>
      <c r="E181" s="196">
        <v>211026</v>
      </c>
      <c r="F181" s="197"/>
      <c r="G181" s="39"/>
    </row>
    <row r="182" spans="1:7" ht="16.5" hidden="1" customHeight="1" x14ac:dyDescent="0.3">
      <c r="A182" s="175">
        <v>211027</v>
      </c>
      <c r="B182" s="172" t="s">
        <v>980</v>
      </c>
      <c r="C182" s="198">
        <v>10</v>
      </c>
      <c r="D182" s="197" t="s">
        <v>1012</v>
      </c>
      <c r="E182" s="196">
        <v>211027</v>
      </c>
      <c r="F182" s="197"/>
      <c r="G182" s="39"/>
    </row>
    <row r="183" spans="1:7" ht="16.5" hidden="1" x14ac:dyDescent="0.3">
      <c r="A183" s="175">
        <v>211028</v>
      </c>
      <c r="B183" s="172" t="s">
        <v>981</v>
      </c>
      <c r="C183" s="198">
        <v>10</v>
      </c>
      <c r="D183" s="197" t="s">
        <v>1013</v>
      </c>
      <c r="E183" s="196">
        <v>211028</v>
      </c>
      <c r="F183" s="197"/>
      <c r="G183" s="39"/>
    </row>
    <row r="184" spans="1:7" ht="16.5" hidden="1" customHeight="1" x14ac:dyDescent="0.3">
      <c r="A184" s="175">
        <v>211030</v>
      </c>
      <c r="B184" s="172" t="s">
        <v>982</v>
      </c>
      <c r="C184" s="198">
        <v>10</v>
      </c>
      <c r="D184" s="197" t="s">
        <v>1014</v>
      </c>
      <c r="E184" s="196">
        <v>211030</v>
      </c>
      <c r="F184" s="197"/>
      <c r="G184" s="39"/>
    </row>
    <row r="185" spans="1:7" ht="16.5" hidden="1" customHeight="1" x14ac:dyDescent="0.3">
      <c r="A185" s="175"/>
      <c r="B185" s="172" t="s">
        <v>983</v>
      </c>
      <c r="C185" s="198"/>
      <c r="D185" s="197"/>
      <c r="E185" s="196"/>
      <c r="F185" s="197"/>
      <c r="G185" s="39"/>
    </row>
    <row r="186" spans="1:7" ht="16.5" hidden="1" customHeight="1" x14ac:dyDescent="0.3">
      <c r="A186" s="39"/>
      <c r="B186" s="172" t="s">
        <v>984</v>
      </c>
      <c r="C186" s="39"/>
      <c r="D186" s="39"/>
      <c r="E186" s="39"/>
      <c r="F186" s="197"/>
      <c r="G186" s="39"/>
    </row>
    <row r="187" spans="1:7" ht="16.5" x14ac:dyDescent="0.2">
      <c r="A187" s="175"/>
      <c r="B187" s="175" t="s">
        <v>1172</v>
      </c>
      <c r="C187" s="196"/>
      <c r="D187" s="199"/>
      <c r="E187" s="199"/>
      <c r="F187" s="39"/>
      <c r="G187" s="39"/>
    </row>
    <row r="188" spans="1:7" ht="16.5" x14ac:dyDescent="0.2">
      <c r="A188" s="175"/>
      <c r="B188" s="175" t="s">
        <v>1173</v>
      </c>
      <c r="C188" s="196"/>
      <c r="D188" s="199"/>
      <c r="E188" s="199"/>
      <c r="F188" s="39"/>
      <c r="G188" s="39"/>
    </row>
    <row r="189" spans="1:7" ht="16.5" x14ac:dyDescent="0.3">
      <c r="A189" s="175"/>
      <c r="B189" s="175" t="s">
        <v>1174</v>
      </c>
      <c r="C189" s="197"/>
      <c r="D189" s="197"/>
      <c r="E189" s="196"/>
      <c r="F189" s="195"/>
      <c r="G189" s="39"/>
    </row>
    <row r="190" spans="1:7" ht="16.5" x14ac:dyDescent="0.2">
      <c r="A190" s="175"/>
      <c r="B190" s="175" t="s">
        <v>1175</v>
      </c>
      <c r="C190" s="197"/>
      <c r="D190" s="199"/>
      <c r="E190" s="199"/>
      <c r="F190" s="195"/>
      <c r="G190" s="39"/>
    </row>
    <row r="191" spans="1:7" ht="16.5" x14ac:dyDescent="0.2">
      <c r="A191" s="196"/>
      <c r="B191" s="175" t="s">
        <v>1176</v>
      </c>
      <c r="C191" s="196"/>
      <c r="D191" s="199"/>
      <c r="E191" s="199"/>
      <c r="F191" s="195"/>
      <c r="G191" s="39"/>
    </row>
    <row r="192" spans="1:7" ht="16.5" x14ac:dyDescent="0.25">
      <c r="A192" s="175"/>
      <c r="B192" s="175" t="s">
        <v>1177</v>
      </c>
      <c r="C192" s="200"/>
      <c r="D192" s="201"/>
      <c r="E192" s="201"/>
      <c r="F192" s="39"/>
      <c r="G192" s="39"/>
    </row>
    <row r="193" spans="1:7" ht="16.5" x14ac:dyDescent="0.25">
      <c r="A193" s="175"/>
      <c r="B193" s="175" t="s">
        <v>1178</v>
      </c>
      <c r="C193" s="200"/>
      <c r="D193" s="201"/>
      <c r="E193" s="201"/>
      <c r="F193" s="39"/>
      <c r="G193" s="39"/>
    </row>
    <row r="194" spans="1:7" ht="16.5" x14ac:dyDescent="0.25">
      <c r="A194" s="175"/>
      <c r="B194" s="175" t="s">
        <v>1179</v>
      </c>
      <c r="C194" s="200"/>
      <c r="D194" s="201"/>
      <c r="E194" s="201"/>
      <c r="F194" s="39"/>
      <c r="G194" s="39"/>
    </row>
    <row r="195" spans="1:7" ht="16.5" x14ac:dyDescent="0.25">
      <c r="A195" s="175"/>
      <c r="B195" s="175" t="s">
        <v>1180</v>
      </c>
      <c r="C195" s="200"/>
      <c r="D195" s="201"/>
      <c r="E195" s="201"/>
      <c r="F195" s="39"/>
      <c r="G195" s="39"/>
    </row>
    <row r="196" spans="1:7" ht="16.5" x14ac:dyDescent="0.25">
      <c r="A196" s="175"/>
      <c r="B196" s="175" t="s">
        <v>1181</v>
      </c>
      <c r="C196" s="200"/>
      <c r="D196" s="201"/>
      <c r="E196" s="201"/>
      <c r="F196" s="39"/>
      <c r="G196" s="39"/>
    </row>
    <row r="197" spans="1:7" ht="16.5" x14ac:dyDescent="0.25">
      <c r="A197" s="175"/>
      <c r="B197" s="175" t="s">
        <v>1182</v>
      </c>
      <c r="C197" s="200"/>
      <c r="D197" s="201"/>
      <c r="E197" s="201"/>
      <c r="F197" s="39"/>
      <c r="G197" s="39"/>
    </row>
    <row r="198" spans="1:7" ht="16.5" x14ac:dyDescent="0.25">
      <c r="A198" s="175"/>
      <c r="B198" s="175" t="s">
        <v>1183</v>
      </c>
      <c r="C198" s="200"/>
      <c r="D198" s="201"/>
      <c r="E198" s="201"/>
      <c r="F198" s="39"/>
      <c r="G198" s="39"/>
    </row>
    <row r="199" spans="1:7" ht="16.5" x14ac:dyDescent="0.25">
      <c r="A199" s="175"/>
      <c r="B199" s="175" t="s">
        <v>1184</v>
      </c>
      <c r="C199" s="200"/>
      <c r="D199" s="201"/>
      <c r="E199" s="201"/>
      <c r="F199" s="39"/>
      <c r="G199" s="39"/>
    </row>
    <row r="200" spans="1:7" ht="16.5" x14ac:dyDescent="0.25">
      <c r="A200" s="175"/>
      <c r="B200" s="175" t="s">
        <v>1185</v>
      </c>
      <c r="C200" s="200"/>
      <c r="D200" s="201"/>
      <c r="E200" s="201"/>
      <c r="F200" s="39"/>
      <c r="G200" s="39"/>
    </row>
    <row r="201" spans="1:7" ht="16.5" x14ac:dyDescent="0.25">
      <c r="A201" s="175"/>
      <c r="B201" s="175" t="s">
        <v>1186</v>
      </c>
      <c r="C201" s="200"/>
      <c r="D201" s="201"/>
      <c r="E201" s="201"/>
      <c r="F201" s="39"/>
      <c r="G201" s="39"/>
    </row>
    <row r="202" spans="1:7" ht="16.5" x14ac:dyDescent="0.25">
      <c r="A202" s="175"/>
      <c r="B202" s="175" t="s">
        <v>1187</v>
      </c>
      <c r="C202" s="200"/>
      <c r="D202" s="201"/>
      <c r="E202" s="201"/>
      <c r="F202" s="39"/>
      <c r="G202" s="39"/>
    </row>
    <row r="203" spans="1:7" ht="16.5" x14ac:dyDescent="0.25">
      <c r="A203" s="175"/>
      <c r="B203" s="175" t="s">
        <v>1188</v>
      </c>
      <c r="C203" s="200"/>
      <c r="D203" s="201"/>
      <c r="E203" s="201"/>
      <c r="F203" s="39"/>
      <c r="G203" s="39"/>
    </row>
    <row r="204" spans="1:7" ht="16.5" x14ac:dyDescent="0.25">
      <c r="A204" s="175"/>
      <c r="B204" s="175" t="s">
        <v>1189</v>
      </c>
      <c r="C204" s="200"/>
      <c r="D204" s="201"/>
      <c r="E204" s="201"/>
      <c r="F204" s="39"/>
      <c r="G204" s="39"/>
    </row>
    <row r="205" spans="1:7" ht="16.5" x14ac:dyDescent="0.25">
      <c r="A205" s="175"/>
      <c r="B205" s="175" t="s">
        <v>1190</v>
      </c>
      <c r="C205" s="200"/>
      <c r="D205" s="201"/>
      <c r="E205" s="201"/>
      <c r="F205" s="39"/>
      <c r="G205" s="39"/>
    </row>
    <row r="206" spans="1:7" ht="16.5" x14ac:dyDescent="0.25">
      <c r="A206" s="175"/>
      <c r="B206" s="175" t="s">
        <v>1191</v>
      </c>
      <c r="C206" s="200"/>
      <c r="D206" s="201"/>
      <c r="E206" s="201"/>
      <c r="F206" s="39"/>
      <c r="G206" s="39"/>
    </row>
    <row r="207" spans="1:7" ht="16.5" x14ac:dyDescent="0.25">
      <c r="A207" s="175"/>
      <c r="B207" s="175" t="s">
        <v>1192</v>
      </c>
      <c r="C207" s="200"/>
      <c r="D207" s="201"/>
      <c r="E207" s="201"/>
      <c r="F207" s="39"/>
      <c r="G207" s="39"/>
    </row>
    <row r="208" spans="1:7" ht="16.5" x14ac:dyDescent="0.25">
      <c r="A208" s="175"/>
      <c r="B208" s="175" t="s">
        <v>1193</v>
      </c>
      <c r="C208" s="200"/>
      <c r="D208" s="201"/>
      <c r="E208" s="201"/>
      <c r="F208" s="39"/>
      <c r="G208" s="39"/>
    </row>
    <row r="209" spans="1:7" ht="16.5" x14ac:dyDescent="0.25">
      <c r="A209" s="175"/>
      <c r="B209" s="175" t="s">
        <v>1194</v>
      </c>
      <c r="C209" s="200"/>
      <c r="D209" s="201"/>
      <c r="E209" s="201"/>
      <c r="F209" s="39"/>
      <c r="G209" s="39"/>
    </row>
    <row r="210" spans="1:7" ht="16.5" x14ac:dyDescent="0.25">
      <c r="A210" s="175"/>
      <c r="B210" s="175" t="s">
        <v>1195</v>
      </c>
      <c r="C210" s="200"/>
      <c r="D210" s="201"/>
      <c r="E210" s="201"/>
      <c r="F210" s="39"/>
      <c r="G210" s="39"/>
    </row>
    <row r="211" spans="1:7" ht="16.5" x14ac:dyDescent="0.25">
      <c r="A211" s="175"/>
      <c r="B211" s="175" t="s">
        <v>1196</v>
      </c>
      <c r="C211" s="200"/>
      <c r="D211" s="201"/>
      <c r="E211" s="201"/>
      <c r="F211" s="39"/>
      <c r="G211" s="39"/>
    </row>
    <row r="212" spans="1:7" ht="16.5" x14ac:dyDescent="0.25">
      <c r="A212" s="175"/>
      <c r="B212" s="175" t="s">
        <v>1197</v>
      </c>
      <c r="C212" s="200"/>
      <c r="D212" s="201"/>
      <c r="E212" s="201"/>
      <c r="F212" s="39"/>
      <c r="G212" s="39"/>
    </row>
    <row r="213" spans="1:7" ht="16.5" x14ac:dyDescent="0.25">
      <c r="A213" s="175"/>
      <c r="B213" s="175" t="s">
        <v>1198</v>
      </c>
      <c r="C213" s="200"/>
      <c r="D213" s="201"/>
      <c r="E213" s="201"/>
      <c r="F213" s="39"/>
      <c r="G213" s="39"/>
    </row>
    <row r="214" spans="1:7" ht="16.5" x14ac:dyDescent="0.25">
      <c r="A214" s="175"/>
      <c r="B214" s="175" t="s">
        <v>1199</v>
      </c>
      <c r="C214" s="200"/>
      <c r="D214" s="201"/>
      <c r="E214" s="201"/>
      <c r="F214" s="39"/>
      <c r="G214" s="39"/>
    </row>
    <row r="215" spans="1:7" ht="16.5" x14ac:dyDescent="0.25">
      <c r="A215" s="175"/>
      <c r="B215" s="175" t="s">
        <v>1200</v>
      </c>
      <c r="C215" s="200"/>
      <c r="D215" s="201"/>
      <c r="E215" s="201"/>
      <c r="F215" s="39"/>
      <c r="G215" s="39"/>
    </row>
    <row r="216" spans="1:7" ht="16.5" x14ac:dyDescent="0.25">
      <c r="A216" s="175"/>
      <c r="B216" s="175" t="s">
        <v>1201</v>
      </c>
      <c r="C216" s="200"/>
      <c r="D216" s="201"/>
      <c r="E216" s="201"/>
      <c r="F216" s="39"/>
      <c r="G216" s="39"/>
    </row>
    <row r="217" spans="1:7" ht="16.5" x14ac:dyDescent="0.25">
      <c r="A217" s="175"/>
      <c r="B217" s="175" t="s">
        <v>1358</v>
      </c>
      <c r="C217" s="200"/>
      <c r="D217" s="201"/>
      <c r="E217" s="201"/>
      <c r="F217" s="39"/>
      <c r="G217" s="39"/>
    </row>
    <row r="218" spans="1:7" ht="16.5" x14ac:dyDescent="0.25">
      <c r="A218" s="175"/>
      <c r="B218" s="175" t="s">
        <v>1359</v>
      </c>
      <c r="C218" s="200"/>
      <c r="D218" s="201"/>
      <c r="E218" s="201"/>
      <c r="F218" s="39"/>
      <c r="G218" s="39"/>
    </row>
    <row r="219" spans="1:7" ht="16.5" x14ac:dyDescent="0.25">
      <c r="A219" s="175"/>
      <c r="B219" s="175" t="s">
        <v>1360</v>
      </c>
      <c r="C219" s="200"/>
      <c r="D219" s="201"/>
      <c r="E219" s="201"/>
      <c r="F219" s="39"/>
      <c r="G219" s="39"/>
    </row>
    <row r="220" spans="1:7" ht="16.5" x14ac:dyDescent="0.25">
      <c r="A220" s="175"/>
      <c r="B220" s="175" t="s">
        <v>1361</v>
      </c>
      <c r="C220" s="200"/>
      <c r="D220" s="201"/>
      <c r="E220" s="201"/>
      <c r="F220" s="39"/>
      <c r="G220" s="39"/>
    </row>
    <row r="221" spans="1:7" ht="16.5" x14ac:dyDescent="0.25">
      <c r="A221" s="175"/>
      <c r="B221" s="175" t="s">
        <v>1362</v>
      </c>
      <c r="C221" s="200"/>
      <c r="D221" s="201"/>
      <c r="E221" s="201"/>
      <c r="F221" s="39"/>
      <c r="G221" s="39"/>
    </row>
    <row r="222" spans="1:7" ht="16.5" x14ac:dyDescent="0.25">
      <c r="A222" s="175"/>
      <c r="B222" s="175" t="s">
        <v>1363</v>
      </c>
      <c r="C222" s="200"/>
      <c r="D222" s="201"/>
      <c r="E222" s="201"/>
      <c r="F222" s="39"/>
      <c r="G222" s="39"/>
    </row>
    <row r="223" spans="1:7" ht="16.5" x14ac:dyDescent="0.25">
      <c r="A223" s="175"/>
      <c r="B223" s="175" t="s">
        <v>1364</v>
      </c>
      <c r="C223" s="200"/>
      <c r="D223" s="201"/>
      <c r="E223" s="201"/>
      <c r="F223" s="39"/>
      <c r="G223" s="39"/>
    </row>
    <row r="224" spans="1:7" ht="16.5" x14ac:dyDescent="0.25">
      <c r="A224" s="175"/>
      <c r="B224" s="175" t="s">
        <v>1365</v>
      </c>
      <c r="C224" s="200"/>
      <c r="D224" s="201"/>
      <c r="E224" s="201"/>
      <c r="F224" s="39"/>
      <c r="G224" s="39"/>
    </row>
    <row r="225" spans="1:7" ht="16.5" x14ac:dyDescent="0.25">
      <c r="A225" s="175"/>
      <c r="B225" s="175" t="s">
        <v>1371</v>
      </c>
      <c r="C225" s="200"/>
      <c r="D225" s="201"/>
      <c r="E225" s="201"/>
      <c r="F225" s="39"/>
      <c r="G225" s="39"/>
    </row>
    <row r="226" spans="1:7" ht="16.5" x14ac:dyDescent="0.25">
      <c r="A226" s="175"/>
      <c r="B226" s="175" t="s">
        <v>1372</v>
      </c>
      <c r="C226" s="200"/>
      <c r="D226" s="201"/>
      <c r="E226" s="201"/>
      <c r="F226" s="39"/>
      <c r="G226" s="39"/>
    </row>
    <row r="227" spans="1:7" ht="16.5" x14ac:dyDescent="0.25">
      <c r="A227" s="175"/>
      <c r="B227" s="175" t="s">
        <v>1373</v>
      </c>
      <c r="C227" s="200"/>
      <c r="D227" s="201"/>
      <c r="E227" s="201"/>
      <c r="F227" s="39"/>
      <c r="G227" s="39"/>
    </row>
    <row r="228" spans="1:7" ht="16.5" x14ac:dyDescent="0.25">
      <c r="A228" s="175"/>
      <c r="B228" s="175" t="s">
        <v>1203</v>
      </c>
      <c r="C228" s="200"/>
      <c r="D228" s="201"/>
      <c r="E228" s="201"/>
      <c r="F228" s="39"/>
      <c r="G228" s="39"/>
    </row>
    <row r="229" spans="1:7" ht="16.5" x14ac:dyDescent="0.25">
      <c r="A229" s="175"/>
      <c r="B229" s="175" t="s">
        <v>1204</v>
      </c>
      <c r="C229" s="200"/>
      <c r="D229" s="201"/>
      <c r="E229" s="201"/>
      <c r="F229" s="39"/>
      <c r="G229" s="39"/>
    </row>
    <row r="230" spans="1:7" ht="16.5" x14ac:dyDescent="0.25">
      <c r="A230" s="175"/>
      <c r="B230" s="175" t="s">
        <v>1205</v>
      </c>
      <c r="C230" s="39"/>
      <c r="D230" s="201"/>
      <c r="E230" s="201"/>
      <c r="F230" s="39"/>
      <c r="G230" s="39"/>
    </row>
    <row r="231" spans="1:7" ht="16.5" x14ac:dyDescent="0.25">
      <c r="A231" s="175"/>
      <c r="B231" s="175" t="s">
        <v>1206</v>
      </c>
      <c r="C231" s="39"/>
      <c r="D231" s="201"/>
      <c r="E231" s="201"/>
      <c r="F231" s="39"/>
      <c r="G231" s="39"/>
    </row>
    <row r="232" spans="1:7" ht="16.5" x14ac:dyDescent="0.25">
      <c r="A232" s="175"/>
      <c r="B232" s="175" t="s">
        <v>1207</v>
      </c>
      <c r="C232" s="201"/>
      <c r="D232" s="201"/>
      <c r="E232" s="201"/>
      <c r="F232" s="39"/>
      <c r="G232" s="39"/>
    </row>
    <row r="233" spans="1:7" ht="16.5" x14ac:dyDescent="0.25">
      <c r="A233" s="175"/>
      <c r="B233" s="175" t="s">
        <v>1208</v>
      </c>
      <c r="C233" s="201"/>
      <c r="D233" s="201"/>
      <c r="E233" s="201"/>
      <c r="F233" s="39"/>
      <c r="G233" s="39"/>
    </row>
    <row r="234" spans="1:7" ht="16.5" x14ac:dyDescent="0.25">
      <c r="A234" s="175"/>
      <c r="B234" s="175" t="s">
        <v>1209</v>
      </c>
      <c r="C234" s="201"/>
      <c r="D234" s="201"/>
      <c r="E234" s="201"/>
      <c r="F234" s="39"/>
      <c r="G234" s="39"/>
    </row>
    <row r="235" spans="1:7" ht="16.5" x14ac:dyDescent="0.25">
      <c r="A235" s="175"/>
      <c r="B235" s="175" t="s">
        <v>1210</v>
      </c>
      <c r="C235" s="201"/>
      <c r="D235" s="201"/>
      <c r="E235" s="201"/>
      <c r="F235" s="39"/>
      <c r="G235" s="39"/>
    </row>
    <row r="236" spans="1:7" ht="16.5" x14ac:dyDescent="0.25">
      <c r="A236" s="175"/>
      <c r="B236" s="175" t="s">
        <v>1211</v>
      </c>
      <c r="C236" s="201"/>
      <c r="D236" s="201"/>
      <c r="E236" s="201"/>
      <c r="F236" s="39"/>
      <c r="G236" s="39"/>
    </row>
    <row r="237" spans="1:7" ht="16.5" x14ac:dyDescent="0.25">
      <c r="A237" s="175"/>
      <c r="B237" s="175" t="s">
        <v>1212</v>
      </c>
      <c r="C237" s="201"/>
      <c r="D237" s="201"/>
      <c r="E237" s="201"/>
      <c r="F237" s="39"/>
      <c r="G237" s="39"/>
    </row>
    <row r="238" spans="1:7" ht="16.5" x14ac:dyDescent="0.25">
      <c r="A238" s="175"/>
      <c r="B238" s="175" t="s">
        <v>1213</v>
      </c>
      <c r="C238" s="201"/>
      <c r="D238" s="201"/>
      <c r="E238" s="201"/>
      <c r="F238" s="39"/>
      <c r="G238" s="39"/>
    </row>
    <row r="239" spans="1:7" ht="16.5" x14ac:dyDescent="0.25">
      <c r="A239" s="175"/>
      <c r="B239" s="175" t="s">
        <v>1214</v>
      </c>
      <c r="C239" s="39"/>
      <c r="D239" s="201"/>
      <c r="E239" s="201"/>
      <c r="F239" s="39"/>
      <c r="G239" s="39"/>
    </row>
    <row r="240" spans="1:7" ht="16.5" x14ac:dyDescent="0.25">
      <c r="A240" s="175"/>
      <c r="B240" s="175" t="s">
        <v>1215</v>
      </c>
      <c r="C240" s="39"/>
      <c r="D240" s="201"/>
      <c r="E240" s="201"/>
      <c r="F240" s="39"/>
      <c r="G240" s="39"/>
    </row>
    <row r="241" spans="1:7" ht="16.5" x14ac:dyDescent="0.25">
      <c r="A241" s="175"/>
      <c r="B241" s="175" t="s">
        <v>1216</v>
      </c>
      <c r="C241" s="39"/>
      <c r="D241" s="201"/>
      <c r="E241" s="201"/>
      <c r="F241" s="39"/>
      <c r="G241" s="39"/>
    </row>
    <row r="242" spans="1:7" ht="16.5" x14ac:dyDescent="0.25">
      <c r="A242" s="175"/>
      <c r="B242" s="175" t="s">
        <v>1217</v>
      </c>
      <c r="C242" s="39"/>
      <c r="D242" s="201"/>
      <c r="E242" s="201"/>
      <c r="F242" s="39"/>
      <c r="G242" s="39"/>
    </row>
    <row r="243" spans="1:7" ht="16.5" x14ac:dyDescent="0.25">
      <c r="A243" s="175"/>
      <c r="B243" s="175" t="s">
        <v>1218</v>
      </c>
      <c r="C243" s="39"/>
      <c r="D243" s="201"/>
      <c r="E243" s="201"/>
      <c r="F243" s="39"/>
      <c r="G243" s="39"/>
    </row>
    <row r="244" spans="1:7" ht="16.5" x14ac:dyDescent="0.25">
      <c r="A244" s="175"/>
      <c r="B244" s="175" t="s">
        <v>1219</v>
      </c>
      <c r="C244" s="39"/>
      <c r="D244" s="201"/>
      <c r="E244" s="201"/>
      <c r="F244" s="39"/>
      <c r="G244" s="39"/>
    </row>
    <row r="245" spans="1:7" ht="16.5" x14ac:dyDescent="0.25">
      <c r="A245" s="175"/>
      <c r="B245" s="175" t="s">
        <v>1220</v>
      </c>
      <c r="C245" s="39"/>
      <c r="D245" s="201"/>
      <c r="E245" s="201"/>
      <c r="F245" s="39"/>
      <c r="G245" s="39"/>
    </row>
    <row r="246" spans="1:7" ht="16.5" x14ac:dyDescent="0.25">
      <c r="A246" s="175"/>
      <c r="B246" s="175" t="s">
        <v>1221</v>
      </c>
      <c r="C246" s="39"/>
      <c r="D246" s="201"/>
      <c r="E246" s="201"/>
      <c r="F246" s="39"/>
      <c r="G246" s="39"/>
    </row>
    <row r="247" spans="1:7" ht="16.5" x14ac:dyDescent="0.25">
      <c r="A247" s="175"/>
      <c r="B247" s="175" t="s">
        <v>1222</v>
      </c>
      <c r="C247" s="39"/>
      <c r="D247" s="201"/>
      <c r="E247" s="201"/>
      <c r="F247" s="39"/>
      <c r="G247" s="39"/>
    </row>
    <row r="248" spans="1:7" ht="16.5" x14ac:dyDescent="0.25">
      <c r="A248" s="175"/>
      <c r="B248" s="175" t="s">
        <v>1223</v>
      </c>
      <c r="C248" s="39"/>
      <c r="D248" s="201"/>
      <c r="E248" s="201"/>
      <c r="F248" s="39"/>
      <c r="G248" s="39"/>
    </row>
    <row r="249" spans="1:7" ht="16.5" x14ac:dyDescent="0.25">
      <c r="A249" s="175"/>
      <c r="B249" s="175" t="s">
        <v>1224</v>
      </c>
      <c r="C249" s="39"/>
      <c r="D249" s="201"/>
      <c r="E249" s="201"/>
      <c r="F249" s="39"/>
      <c r="G249" s="39"/>
    </row>
    <row r="250" spans="1:7" ht="16.5" x14ac:dyDescent="0.25">
      <c r="A250" s="175"/>
      <c r="B250" s="175" t="s">
        <v>1225</v>
      </c>
      <c r="C250" s="39"/>
      <c r="D250" s="201"/>
      <c r="E250" s="201"/>
      <c r="F250" s="39"/>
      <c r="G250" s="39"/>
    </row>
    <row r="251" spans="1:7" ht="16.5" x14ac:dyDescent="0.25">
      <c r="A251" s="175"/>
      <c r="B251" s="175" t="s">
        <v>1226</v>
      </c>
      <c r="C251" s="39"/>
      <c r="D251" s="201"/>
      <c r="E251" s="201"/>
      <c r="F251" s="39"/>
      <c r="G251" s="39"/>
    </row>
    <row r="252" spans="1:7" ht="16.5" x14ac:dyDescent="0.25">
      <c r="A252" s="175"/>
      <c r="B252" s="175" t="s">
        <v>1227</v>
      </c>
      <c r="C252" s="39"/>
      <c r="D252" s="201"/>
      <c r="E252" s="201"/>
      <c r="F252" s="39"/>
      <c r="G252" s="39"/>
    </row>
    <row r="253" spans="1:7" ht="16.5" x14ac:dyDescent="0.25">
      <c r="A253" s="175"/>
      <c r="B253" s="175" t="s">
        <v>1228</v>
      </c>
      <c r="C253" s="39"/>
      <c r="D253" s="201"/>
      <c r="E253" s="201"/>
      <c r="F253" s="39"/>
      <c r="G253" s="39"/>
    </row>
    <row r="254" spans="1:7" ht="16.5" x14ac:dyDescent="0.25">
      <c r="A254" s="175"/>
      <c r="B254" s="175" t="s">
        <v>1229</v>
      </c>
      <c r="C254" s="39"/>
      <c r="D254" s="201"/>
      <c r="E254" s="201"/>
      <c r="F254" s="39"/>
      <c r="G254" s="39"/>
    </row>
    <row r="255" spans="1:7" ht="16.5" x14ac:dyDescent="0.25">
      <c r="A255" s="175"/>
      <c r="B255" s="175" t="s">
        <v>1230</v>
      </c>
      <c r="C255" s="39"/>
      <c r="D255" s="201"/>
      <c r="E255" s="201"/>
      <c r="F255" s="39"/>
      <c r="G255" s="39"/>
    </row>
    <row r="256" spans="1:7" ht="16.5" x14ac:dyDescent="0.25">
      <c r="A256" s="175"/>
      <c r="B256" s="175" t="s">
        <v>1231</v>
      </c>
      <c r="C256" s="39"/>
      <c r="D256" s="201"/>
      <c r="E256" s="201"/>
      <c r="F256" s="39"/>
      <c r="G256" s="39"/>
    </row>
    <row r="257" spans="1:7" ht="16.5" x14ac:dyDescent="0.25">
      <c r="A257" s="175"/>
      <c r="B257" s="175" t="s">
        <v>1232</v>
      </c>
      <c r="C257" s="39"/>
      <c r="D257" s="201"/>
      <c r="E257" s="201"/>
      <c r="F257" s="39"/>
      <c r="G257" s="39"/>
    </row>
    <row r="258" spans="1:7" ht="16.5" x14ac:dyDescent="0.25">
      <c r="A258" s="175"/>
      <c r="B258" s="175" t="s">
        <v>1234</v>
      </c>
      <c r="C258" s="39"/>
      <c r="D258" s="201"/>
      <c r="E258" s="201"/>
      <c r="F258" s="39"/>
      <c r="G258" s="39"/>
    </row>
    <row r="259" spans="1:7" ht="16.5" x14ac:dyDescent="0.25">
      <c r="A259" s="175"/>
      <c r="B259" s="175" t="s">
        <v>1236</v>
      </c>
      <c r="C259" s="39"/>
      <c r="D259" s="201"/>
      <c r="E259" s="201"/>
      <c r="F259" s="39"/>
      <c r="G259" s="39"/>
    </row>
    <row r="260" spans="1:7" ht="16.5" x14ac:dyDescent="0.25">
      <c r="A260" s="175"/>
      <c r="B260" s="175" t="s">
        <v>1237</v>
      </c>
      <c r="C260" s="39"/>
      <c r="D260" s="201"/>
      <c r="E260" s="201"/>
      <c r="F260" s="39"/>
      <c r="G260" s="39"/>
    </row>
    <row r="261" spans="1:7" ht="16.5" x14ac:dyDescent="0.25">
      <c r="A261" s="175"/>
      <c r="B261" s="175" t="s">
        <v>1238</v>
      </c>
      <c r="C261" s="39"/>
      <c r="D261" s="201"/>
      <c r="E261" s="201"/>
      <c r="F261" s="39"/>
      <c r="G261" s="39"/>
    </row>
    <row r="262" spans="1:7" ht="16.5" x14ac:dyDescent="0.25">
      <c r="A262" s="175"/>
      <c r="B262" s="175" t="s">
        <v>1239</v>
      </c>
      <c r="C262" s="39"/>
      <c r="D262" s="201"/>
      <c r="E262" s="201"/>
      <c r="F262" s="39"/>
      <c r="G262" s="39"/>
    </row>
    <row r="263" spans="1:7" ht="16.5" x14ac:dyDescent="0.25">
      <c r="A263" s="175"/>
      <c r="B263" s="175" t="s">
        <v>1240</v>
      </c>
      <c r="C263" s="39"/>
      <c r="D263" s="201"/>
      <c r="E263" s="201"/>
      <c r="F263" s="39"/>
      <c r="G263" s="39"/>
    </row>
    <row r="264" spans="1:7" ht="16.5" x14ac:dyDescent="0.25">
      <c r="A264" s="175"/>
      <c r="B264" s="175" t="s">
        <v>1241</v>
      </c>
      <c r="C264" s="39"/>
      <c r="D264" s="201"/>
      <c r="E264" s="201"/>
      <c r="F264" s="39"/>
      <c r="G264" s="39"/>
    </row>
    <row r="265" spans="1:7" ht="16.5" x14ac:dyDescent="0.25">
      <c r="A265" s="175"/>
      <c r="B265" s="175" t="s">
        <v>1242</v>
      </c>
      <c r="C265" s="39"/>
      <c r="D265" s="201"/>
      <c r="E265" s="201"/>
      <c r="F265" s="39"/>
      <c r="G265" s="39"/>
    </row>
    <row r="266" spans="1:7" ht="16.5" x14ac:dyDescent="0.25">
      <c r="A266" s="175"/>
      <c r="B266" s="175" t="s">
        <v>1243</v>
      </c>
      <c r="C266" s="39"/>
      <c r="D266" s="201"/>
      <c r="E266" s="201"/>
      <c r="F266" s="39"/>
      <c r="G266" s="39"/>
    </row>
    <row r="267" spans="1:7" ht="16.5" x14ac:dyDescent="0.25">
      <c r="A267" s="175"/>
      <c r="B267" s="175" t="s">
        <v>1244</v>
      </c>
      <c r="C267" s="39"/>
      <c r="D267" s="201"/>
      <c r="E267" s="201"/>
      <c r="F267" s="39"/>
      <c r="G267" s="39"/>
    </row>
    <row r="268" spans="1:7" ht="16.5" x14ac:dyDescent="0.25">
      <c r="A268" s="175"/>
      <c r="B268" s="175" t="s">
        <v>1245</v>
      </c>
      <c r="C268" s="39"/>
      <c r="D268" s="201"/>
      <c r="E268" s="201"/>
      <c r="F268" s="39"/>
      <c r="G268" s="39"/>
    </row>
    <row r="269" spans="1:7" ht="16.5" x14ac:dyDescent="0.25">
      <c r="A269" s="175"/>
      <c r="B269" s="175" t="s">
        <v>1246</v>
      </c>
      <c r="C269" s="39"/>
      <c r="D269" s="201"/>
      <c r="E269" s="201"/>
      <c r="F269" s="39"/>
      <c r="G269" s="39"/>
    </row>
    <row r="270" spans="1:7" ht="16.5" x14ac:dyDescent="0.25">
      <c r="A270" s="175"/>
      <c r="B270" s="175" t="s">
        <v>1247</v>
      </c>
      <c r="C270" s="39"/>
      <c r="D270" s="201"/>
      <c r="E270" s="201"/>
      <c r="F270" s="39"/>
      <c r="G270" s="39"/>
    </row>
    <row r="271" spans="1:7" ht="16.5" x14ac:dyDescent="0.25">
      <c r="A271" s="175"/>
      <c r="B271" s="175" t="s">
        <v>1248</v>
      </c>
      <c r="C271" s="39"/>
      <c r="D271" s="201"/>
      <c r="E271" s="201"/>
      <c r="F271" s="39"/>
      <c r="G271" s="39"/>
    </row>
    <row r="272" spans="1:7" ht="16.5" x14ac:dyDescent="0.25">
      <c r="A272" s="175"/>
      <c r="B272" s="175" t="s">
        <v>1249</v>
      </c>
      <c r="C272" s="39"/>
      <c r="D272" s="201"/>
      <c r="E272" s="201"/>
      <c r="F272" s="39"/>
      <c r="G272" s="39"/>
    </row>
    <row r="273" spans="1:7" ht="16.5" x14ac:dyDescent="0.25">
      <c r="A273" s="175"/>
      <c r="B273" s="175" t="s">
        <v>1250</v>
      </c>
      <c r="C273" s="39"/>
      <c r="D273" s="201"/>
      <c r="E273" s="201"/>
      <c r="F273" s="39"/>
      <c r="G273" s="39"/>
    </row>
    <row r="274" spans="1:7" ht="16.5" x14ac:dyDescent="0.25">
      <c r="A274" s="175"/>
      <c r="B274" s="175" t="s">
        <v>1251</v>
      </c>
      <c r="C274" s="39"/>
      <c r="D274" s="201"/>
      <c r="E274" s="201"/>
      <c r="F274" s="39"/>
      <c r="G274" s="39"/>
    </row>
    <row r="275" spans="1:7" ht="16.5" x14ac:dyDescent="0.25">
      <c r="A275" s="175"/>
      <c r="B275" s="175" t="s">
        <v>1252</v>
      </c>
      <c r="C275" s="39"/>
      <c r="D275" s="201"/>
      <c r="E275" s="201"/>
      <c r="F275" s="39"/>
      <c r="G275" s="39"/>
    </row>
    <row r="276" spans="1:7" ht="16.5" x14ac:dyDescent="0.25">
      <c r="A276" s="175"/>
      <c r="B276" s="175" t="s">
        <v>1253</v>
      </c>
      <c r="C276" s="39"/>
      <c r="D276" s="201"/>
      <c r="E276" s="201"/>
      <c r="F276" s="39"/>
      <c r="G276" s="39"/>
    </row>
    <row r="277" spans="1:7" ht="16.5" x14ac:dyDescent="0.25">
      <c r="A277" s="175"/>
      <c r="B277" s="175" t="s">
        <v>1254</v>
      </c>
      <c r="C277" s="39"/>
      <c r="D277" s="201"/>
      <c r="E277" s="201"/>
      <c r="F277" s="39"/>
      <c r="G277" s="39"/>
    </row>
    <row r="278" spans="1:7" ht="16.5" x14ac:dyDescent="0.25">
      <c r="A278" s="175"/>
      <c r="B278" s="175" t="s">
        <v>1255</v>
      </c>
      <c r="C278" s="39"/>
      <c r="D278" s="201"/>
      <c r="E278" s="201"/>
      <c r="F278" s="39"/>
      <c r="G278" s="39"/>
    </row>
    <row r="279" spans="1:7" ht="16.5" x14ac:dyDescent="0.25">
      <c r="A279" s="175"/>
      <c r="B279" s="175" t="s">
        <v>1256</v>
      </c>
      <c r="C279" s="39"/>
      <c r="D279" s="201"/>
      <c r="E279" s="201"/>
      <c r="F279" s="39"/>
      <c r="G279" s="39"/>
    </row>
    <row r="280" spans="1:7" ht="16.5" x14ac:dyDescent="0.25">
      <c r="A280" s="175"/>
      <c r="B280" s="175" t="s">
        <v>1257</v>
      </c>
      <c r="C280" s="39"/>
      <c r="D280" s="201"/>
      <c r="E280" s="201"/>
      <c r="F280" s="39"/>
      <c r="G280" s="39"/>
    </row>
    <row r="281" spans="1:7" ht="16.5" x14ac:dyDescent="0.25">
      <c r="A281" s="175"/>
      <c r="B281" s="175" t="s">
        <v>1258</v>
      </c>
      <c r="C281" s="39"/>
      <c r="D281" s="201"/>
      <c r="E281" s="201"/>
      <c r="F281" s="39"/>
      <c r="G281" s="39"/>
    </row>
    <row r="282" spans="1:7" ht="16.5" x14ac:dyDescent="0.25">
      <c r="A282" s="175"/>
      <c r="B282" s="175" t="s">
        <v>1259</v>
      </c>
      <c r="C282" s="39"/>
      <c r="D282" s="201"/>
      <c r="E282" s="201"/>
      <c r="F282" s="39"/>
      <c r="G282" s="39"/>
    </row>
    <row r="283" spans="1:7" ht="16.5" x14ac:dyDescent="0.25">
      <c r="A283" s="175"/>
      <c r="B283" s="175" t="s">
        <v>1260</v>
      </c>
      <c r="C283" s="39"/>
      <c r="D283" s="201"/>
      <c r="E283" s="201"/>
      <c r="F283" s="39"/>
      <c r="G283" s="39"/>
    </row>
    <row r="284" spans="1:7" ht="16.5" x14ac:dyDescent="0.25">
      <c r="A284" s="175"/>
      <c r="B284" s="175" t="s">
        <v>1261</v>
      </c>
      <c r="C284" s="39"/>
      <c r="D284" s="201"/>
      <c r="E284" s="201"/>
      <c r="F284" s="39"/>
      <c r="G284" s="39"/>
    </row>
    <row r="285" spans="1:7" ht="16.5" x14ac:dyDescent="0.25">
      <c r="A285" s="175"/>
      <c r="B285" s="175" t="s">
        <v>1262</v>
      </c>
      <c r="C285" s="39"/>
      <c r="D285" s="201"/>
      <c r="E285" s="201"/>
      <c r="F285" s="39"/>
      <c r="G285" s="39"/>
    </row>
    <row r="286" spans="1:7" ht="16.5" x14ac:dyDescent="0.25">
      <c r="A286" s="175"/>
      <c r="B286" s="175" t="s">
        <v>1263</v>
      </c>
      <c r="C286" s="39"/>
      <c r="D286" s="201"/>
      <c r="E286" s="201"/>
      <c r="F286" s="39"/>
      <c r="G286" s="39"/>
    </row>
    <row r="287" spans="1:7" ht="16.5" x14ac:dyDescent="0.25">
      <c r="A287" s="175"/>
      <c r="B287" s="175" t="s">
        <v>1264</v>
      </c>
      <c r="C287" s="39"/>
      <c r="D287" s="201"/>
      <c r="E287" s="201"/>
      <c r="F287" s="39"/>
      <c r="G287" s="39"/>
    </row>
    <row r="288" spans="1:7" ht="16.5" x14ac:dyDescent="0.25">
      <c r="A288" s="175"/>
      <c r="B288" s="175" t="s">
        <v>1266</v>
      </c>
      <c r="C288" s="201"/>
      <c r="D288" s="201"/>
      <c r="E288" s="201"/>
      <c r="F288" s="39"/>
      <c r="G288" s="39"/>
    </row>
    <row r="289" spans="1:7" ht="16.5" x14ac:dyDescent="0.25">
      <c r="A289" s="175"/>
      <c r="B289" s="175" t="s">
        <v>1267</v>
      </c>
      <c r="C289" s="201"/>
      <c r="D289" s="201"/>
      <c r="E289" s="201"/>
      <c r="F289" s="39"/>
      <c r="G289" s="39"/>
    </row>
    <row r="290" spans="1:7" ht="16.5" x14ac:dyDescent="0.25">
      <c r="A290" s="175"/>
      <c r="B290" s="175" t="s">
        <v>1268</v>
      </c>
      <c r="C290" s="201"/>
      <c r="D290" s="201"/>
      <c r="E290" s="201"/>
      <c r="F290" s="39"/>
      <c r="G290" s="39"/>
    </row>
    <row r="291" spans="1:7" ht="16.5" x14ac:dyDescent="0.25">
      <c r="A291" s="175"/>
      <c r="B291" s="175" t="s">
        <v>1269</v>
      </c>
      <c r="C291" s="201"/>
      <c r="D291" s="201"/>
      <c r="E291" s="201"/>
      <c r="F291" s="39"/>
      <c r="G291" s="39"/>
    </row>
    <row r="292" spans="1:7" ht="16.5" x14ac:dyDescent="0.25">
      <c r="A292" s="175"/>
      <c r="B292" s="175" t="s">
        <v>1270</v>
      </c>
      <c r="C292" s="201"/>
      <c r="D292" s="201"/>
      <c r="E292" s="201"/>
      <c r="F292" s="39"/>
      <c r="G292" s="39"/>
    </row>
    <row r="293" spans="1:7" ht="16.5" x14ac:dyDescent="0.25">
      <c r="A293" s="175"/>
      <c r="B293" s="175" t="s">
        <v>1271</v>
      </c>
      <c r="C293" s="201"/>
      <c r="D293" s="201"/>
      <c r="E293" s="201"/>
      <c r="F293" s="39"/>
      <c r="G293" s="39"/>
    </row>
    <row r="294" spans="1:7" ht="16.5" x14ac:dyDescent="0.25">
      <c r="A294" s="175"/>
      <c r="B294" s="175" t="s">
        <v>1272</v>
      </c>
      <c r="C294" s="201"/>
      <c r="D294" s="201"/>
      <c r="E294" s="201"/>
      <c r="F294" s="39"/>
      <c r="G294" s="39"/>
    </row>
    <row r="295" spans="1:7" ht="16.5" x14ac:dyDescent="0.25">
      <c r="A295" s="175"/>
      <c r="B295" s="175" t="s">
        <v>1273</v>
      </c>
      <c r="C295" s="201"/>
      <c r="D295" s="201"/>
      <c r="E295" s="201"/>
      <c r="F295" s="39"/>
      <c r="G295" s="39"/>
    </row>
    <row r="296" spans="1:7" ht="16.5" x14ac:dyDescent="0.25">
      <c r="A296" s="175"/>
      <c r="B296" s="175" t="s">
        <v>1274</v>
      </c>
      <c r="C296" s="201"/>
      <c r="D296" s="201"/>
      <c r="E296" s="201"/>
      <c r="F296" s="39"/>
      <c r="G296" s="39"/>
    </row>
    <row r="297" spans="1:7" ht="16.5" x14ac:dyDescent="0.25">
      <c r="A297" s="175"/>
      <c r="B297" s="175" t="s">
        <v>1275</v>
      </c>
      <c r="C297" s="201"/>
      <c r="D297" s="201"/>
      <c r="E297" s="201"/>
      <c r="F297" s="39"/>
      <c r="G297" s="39"/>
    </row>
    <row r="298" spans="1:7" ht="16.5" x14ac:dyDescent="0.25">
      <c r="A298" s="175"/>
      <c r="B298" s="175" t="s">
        <v>1276</v>
      </c>
      <c r="C298" s="201"/>
      <c r="D298" s="201"/>
      <c r="E298" s="201"/>
      <c r="F298" s="39"/>
      <c r="G298" s="39"/>
    </row>
    <row r="299" spans="1:7" ht="16.5" x14ac:dyDescent="0.25">
      <c r="A299" s="175"/>
      <c r="B299" s="175" t="s">
        <v>1277</v>
      </c>
      <c r="C299" s="201"/>
      <c r="D299" s="201"/>
      <c r="E299" s="201"/>
      <c r="F299" s="39"/>
      <c r="G299" s="39"/>
    </row>
    <row r="300" spans="1:7" ht="16.5" x14ac:dyDescent="0.25">
      <c r="A300" s="175"/>
      <c r="B300" s="175" t="s">
        <v>1278</v>
      </c>
      <c r="C300" s="201"/>
      <c r="D300" s="201"/>
      <c r="E300" s="201"/>
      <c r="F300" s="39"/>
      <c r="G300" s="39"/>
    </row>
    <row r="301" spans="1:7" ht="16.5" x14ac:dyDescent="0.25">
      <c r="A301" s="175"/>
      <c r="B301" s="175" t="s">
        <v>1279</v>
      </c>
      <c r="C301" s="201"/>
      <c r="D301" s="201"/>
      <c r="E301" s="201"/>
      <c r="F301" s="39"/>
      <c r="G301" s="39"/>
    </row>
    <row r="302" spans="1:7" ht="16.5" x14ac:dyDescent="0.25">
      <c r="A302" s="175"/>
      <c r="B302" s="175" t="s">
        <v>1280</v>
      </c>
      <c r="C302" s="201"/>
      <c r="D302" s="201"/>
      <c r="E302" s="201"/>
      <c r="F302" s="39"/>
      <c r="G302" s="39"/>
    </row>
    <row r="303" spans="1:7" ht="16.5" x14ac:dyDescent="0.25">
      <c r="A303" s="175"/>
      <c r="B303" s="175" t="s">
        <v>1281</v>
      </c>
      <c r="C303" s="201"/>
      <c r="D303" s="201"/>
      <c r="E303" s="201"/>
      <c r="F303" s="39"/>
      <c r="G303" s="39"/>
    </row>
    <row r="304" spans="1:7" ht="16.5" x14ac:dyDescent="0.25">
      <c r="A304" s="175"/>
      <c r="B304" s="175" t="s">
        <v>1282</v>
      </c>
      <c r="C304" s="201"/>
      <c r="D304" s="201"/>
      <c r="E304" s="201"/>
      <c r="F304" s="39"/>
      <c r="G304" s="39"/>
    </row>
    <row r="305" spans="1:7" ht="16.5" x14ac:dyDescent="0.25">
      <c r="A305" s="175"/>
      <c r="B305" s="175" t="s">
        <v>1283</v>
      </c>
      <c r="C305" s="201"/>
      <c r="D305" s="201"/>
      <c r="E305" s="201"/>
      <c r="F305" s="39"/>
      <c r="G305" s="39"/>
    </row>
    <row r="306" spans="1:7" ht="16.5" x14ac:dyDescent="0.25">
      <c r="A306" s="175"/>
      <c r="B306" s="175" t="s">
        <v>1284</v>
      </c>
      <c r="C306" s="201"/>
      <c r="D306" s="201"/>
      <c r="E306" s="201"/>
      <c r="F306" s="39"/>
      <c r="G306" s="39"/>
    </row>
    <row r="307" spans="1:7" ht="16.5" x14ac:dyDescent="0.25">
      <c r="A307" s="175"/>
      <c r="B307" s="175" t="s">
        <v>1285</v>
      </c>
      <c r="C307" s="201"/>
      <c r="D307" s="201"/>
      <c r="E307" s="201"/>
      <c r="F307" s="39"/>
      <c r="G307" s="39"/>
    </row>
    <row r="308" spans="1:7" ht="16.5" x14ac:dyDescent="0.25">
      <c r="A308" s="175"/>
      <c r="B308" s="175" t="s">
        <v>1286</v>
      </c>
      <c r="C308" s="201"/>
      <c r="D308" s="201"/>
      <c r="E308" s="201"/>
      <c r="F308" s="39"/>
      <c r="G308" s="39"/>
    </row>
    <row r="309" spans="1:7" ht="16.5" x14ac:dyDescent="0.25">
      <c r="A309" s="175"/>
      <c r="B309" s="175" t="s">
        <v>1287</v>
      </c>
      <c r="C309" s="201"/>
      <c r="D309" s="201"/>
      <c r="E309" s="201"/>
      <c r="F309" s="39"/>
      <c r="G309" s="39"/>
    </row>
    <row r="310" spans="1:7" ht="16.5" x14ac:dyDescent="0.25">
      <c r="A310" s="175"/>
      <c r="B310" s="175" t="s">
        <v>1288</v>
      </c>
      <c r="C310" s="201"/>
      <c r="D310" s="201"/>
      <c r="E310" s="201"/>
      <c r="F310" s="39"/>
      <c r="G310" s="39"/>
    </row>
    <row r="311" spans="1:7" ht="16.5" x14ac:dyDescent="0.25">
      <c r="A311" s="175"/>
      <c r="B311" s="175" t="s">
        <v>1289</v>
      </c>
      <c r="C311" s="201"/>
      <c r="D311" s="201"/>
      <c r="E311" s="201"/>
      <c r="F311" s="39"/>
      <c r="G311" s="39"/>
    </row>
    <row r="312" spans="1:7" ht="16.5" x14ac:dyDescent="0.25">
      <c r="A312" s="175"/>
      <c r="B312" s="175" t="s">
        <v>1290</v>
      </c>
      <c r="C312" s="201"/>
      <c r="D312" s="201"/>
      <c r="E312" s="201"/>
      <c r="F312" s="39"/>
      <c r="G312" s="39"/>
    </row>
    <row r="313" spans="1:7" ht="16.5" x14ac:dyDescent="0.25">
      <c r="A313" s="175"/>
      <c r="B313" s="175" t="s">
        <v>1291</v>
      </c>
      <c r="C313" s="201"/>
      <c r="D313" s="201"/>
      <c r="E313" s="201"/>
      <c r="F313" s="39"/>
      <c r="G313" s="39"/>
    </row>
    <row r="314" spans="1:7" ht="16.5" x14ac:dyDescent="0.25">
      <c r="A314" s="175"/>
      <c r="B314" s="175" t="s">
        <v>1292</v>
      </c>
      <c r="C314" s="201"/>
      <c r="D314" s="201"/>
      <c r="E314" s="201"/>
      <c r="F314" s="39"/>
      <c r="G314" s="39"/>
    </row>
    <row r="315" spans="1:7" ht="16.5" x14ac:dyDescent="0.25">
      <c r="A315" s="175"/>
      <c r="B315" s="175" t="s">
        <v>1293</v>
      </c>
      <c r="C315" s="201"/>
      <c r="D315" s="201"/>
      <c r="E315" s="201"/>
      <c r="F315" s="39"/>
      <c r="G315" s="39"/>
    </row>
    <row r="316" spans="1:7" ht="16.5" x14ac:dyDescent="0.25">
      <c r="A316" s="175"/>
      <c r="B316" s="175" t="s">
        <v>1294</v>
      </c>
      <c r="C316" s="201"/>
      <c r="D316" s="201"/>
      <c r="E316" s="201"/>
      <c r="F316" s="39"/>
      <c r="G316" s="39"/>
    </row>
    <row r="317" spans="1:7" ht="16.5" x14ac:dyDescent="0.25">
      <c r="A317" s="175"/>
      <c r="B317" s="175" t="s">
        <v>1295</v>
      </c>
      <c r="C317" s="201"/>
      <c r="D317" s="201"/>
      <c r="E317" s="201"/>
      <c r="F317" s="39"/>
      <c r="G317" s="39"/>
    </row>
    <row r="318" spans="1:7" ht="16.5" x14ac:dyDescent="0.25">
      <c r="A318" s="175"/>
      <c r="B318" s="175" t="s">
        <v>1297</v>
      </c>
      <c r="C318" s="201"/>
      <c r="D318" s="201"/>
      <c r="E318" s="201"/>
      <c r="F318" s="39"/>
      <c r="G318" s="39"/>
    </row>
    <row r="319" spans="1:7" ht="16.5" x14ac:dyDescent="0.25">
      <c r="A319" s="175"/>
      <c r="B319" s="175" t="s">
        <v>1298</v>
      </c>
      <c r="C319" s="201"/>
      <c r="D319" s="201"/>
      <c r="E319" s="201"/>
      <c r="F319" s="39"/>
      <c r="G319" s="39"/>
    </row>
    <row r="320" spans="1:7" ht="16.5" x14ac:dyDescent="0.25">
      <c r="A320" s="175"/>
      <c r="B320" s="175" t="s">
        <v>1299</v>
      </c>
      <c r="C320" s="201"/>
      <c r="D320" s="201"/>
      <c r="E320" s="201"/>
      <c r="F320" s="39"/>
      <c r="G320" s="39"/>
    </row>
    <row r="321" spans="1:7" ht="16.5" x14ac:dyDescent="0.25">
      <c r="A321" s="175"/>
      <c r="B321" s="175" t="s">
        <v>1300</v>
      </c>
      <c r="C321" s="201"/>
      <c r="D321" s="201"/>
      <c r="E321" s="201"/>
      <c r="F321" s="39"/>
      <c r="G321" s="39"/>
    </row>
    <row r="322" spans="1:7" ht="16.5" x14ac:dyDescent="0.25">
      <c r="A322" s="175"/>
      <c r="B322" s="175" t="s">
        <v>1301</v>
      </c>
      <c r="C322" s="201"/>
      <c r="D322" s="201"/>
      <c r="E322" s="201"/>
      <c r="F322" s="39"/>
      <c r="G322" s="39"/>
    </row>
    <row r="323" spans="1:7" ht="16.5" x14ac:dyDescent="0.25">
      <c r="A323" s="175"/>
      <c r="B323" s="175" t="s">
        <v>1302</v>
      </c>
      <c r="C323" s="201"/>
      <c r="D323" s="201"/>
      <c r="E323" s="201"/>
      <c r="F323" s="39"/>
      <c r="G323" s="39"/>
    </row>
    <row r="324" spans="1:7" ht="16.5" x14ac:dyDescent="0.25">
      <c r="A324" s="175"/>
      <c r="B324" s="175" t="s">
        <v>1303</v>
      </c>
      <c r="C324" s="201"/>
      <c r="D324" s="201"/>
      <c r="E324" s="201"/>
      <c r="F324" s="39"/>
      <c r="G324" s="39"/>
    </row>
    <row r="325" spans="1:7" ht="16.5" x14ac:dyDescent="0.25">
      <c r="A325" s="175"/>
      <c r="B325" s="175" t="s">
        <v>1304</v>
      </c>
      <c r="C325" s="201"/>
      <c r="D325" s="201"/>
      <c r="E325" s="201"/>
      <c r="F325" s="39"/>
      <c r="G325" s="39"/>
    </row>
    <row r="326" spans="1:7" ht="16.5" x14ac:dyDescent="0.25">
      <c r="A326" s="175"/>
      <c r="B326" s="175" t="s">
        <v>1305</v>
      </c>
      <c r="C326" s="201"/>
      <c r="D326" s="201"/>
      <c r="E326" s="201"/>
      <c r="F326" s="39"/>
      <c r="G326" s="39"/>
    </row>
    <row r="327" spans="1:7" ht="16.5" x14ac:dyDescent="0.25">
      <c r="A327" s="175"/>
      <c r="B327" s="175" t="s">
        <v>1306</v>
      </c>
      <c r="C327" s="201"/>
      <c r="D327" s="201"/>
      <c r="E327" s="201"/>
      <c r="F327" s="39"/>
      <c r="G327" s="39"/>
    </row>
    <row r="328" spans="1:7" ht="16.5" x14ac:dyDescent="0.25">
      <c r="A328" s="175"/>
      <c r="B328" s="175" t="s">
        <v>1307</v>
      </c>
      <c r="C328" s="201"/>
      <c r="D328" s="201"/>
      <c r="E328" s="201"/>
      <c r="F328" s="39"/>
      <c r="G328" s="39"/>
    </row>
    <row r="329" spans="1:7" ht="16.5" x14ac:dyDescent="0.25">
      <c r="A329" s="175"/>
      <c r="B329" s="175" t="s">
        <v>1308</v>
      </c>
      <c r="C329" s="201"/>
      <c r="D329" s="201"/>
      <c r="E329" s="201"/>
      <c r="F329" s="39"/>
      <c r="G329" s="39"/>
    </row>
    <row r="330" spans="1:7" ht="16.5" x14ac:dyDescent="0.25">
      <c r="A330" s="175"/>
      <c r="B330" s="175" t="s">
        <v>1309</v>
      </c>
      <c r="C330" s="201"/>
      <c r="D330" s="201"/>
      <c r="E330" s="201"/>
      <c r="F330" s="39"/>
      <c r="G330" s="39"/>
    </row>
    <row r="331" spans="1:7" ht="16.5" x14ac:dyDescent="0.25">
      <c r="A331" s="175"/>
      <c r="B331" s="175" t="s">
        <v>1310</v>
      </c>
      <c r="C331" s="201"/>
      <c r="D331" s="201"/>
      <c r="E331" s="201"/>
      <c r="F331" s="39"/>
      <c r="G331" s="39"/>
    </row>
    <row r="332" spans="1:7" ht="16.5" x14ac:dyDescent="0.25">
      <c r="A332" s="175"/>
      <c r="B332" s="175" t="s">
        <v>1311</v>
      </c>
      <c r="C332" s="201"/>
      <c r="D332" s="201"/>
      <c r="E332" s="201"/>
      <c r="F332" s="39"/>
      <c r="G332" s="39"/>
    </row>
    <row r="333" spans="1:7" ht="16.5" x14ac:dyDescent="0.25">
      <c r="A333" s="175"/>
      <c r="B333" s="175" t="s">
        <v>1312</v>
      </c>
      <c r="C333" s="201"/>
      <c r="D333" s="201"/>
      <c r="E333" s="201"/>
      <c r="F333" s="39"/>
      <c r="G333" s="39"/>
    </row>
    <row r="334" spans="1:7" ht="16.5" x14ac:dyDescent="0.25">
      <c r="A334" s="175"/>
      <c r="B334" s="175" t="s">
        <v>1313</v>
      </c>
      <c r="C334" s="201"/>
      <c r="D334" s="201"/>
      <c r="E334" s="201"/>
      <c r="F334" s="39"/>
      <c r="G334" s="39"/>
    </row>
    <row r="335" spans="1:7" ht="16.5" x14ac:dyDescent="0.25">
      <c r="A335" s="175"/>
      <c r="B335" s="175" t="s">
        <v>1314</v>
      </c>
      <c r="C335" s="201"/>
      <c r="D335" s="201"/>
      <c r="E335" s="201"/>
      <c r="F335" s="39"/>
      <c r="G335" s="39"/>
    </row>
    <row r="336" spans="1:7" ht="16.5" x14ac:dyDescent="0.25">
      <c r="A336" s="175"/>
      <c r="B336" s="175" t="s">
        <v>1315</v>
      </c>
      <c r="C336" s="201"/>
      <c r="D336" s="201"/>
      <c r="E336" s="201"/>
      <c r="F336" s="39"/>
      <c r="G336" s="39"/>
    </row>
    <row r="337" spans="1:7" ht="16.5" x14ac:dyDescent="0.25">
      <c r="A337" s="175"/>
      <c r="B337" s="175" t="s">
        <v>1316</v>
      </c>
      <c r="C337" s="201"/>
      <c r="D337" s="201"/>
      <c r="E337" s="201"/>
      <c r="F337" s="39"/>
      <c r="G337" s="39"/>
    </row>
    <row r="338" spans="1:7" ht="16.5" x14ac:dyDescent="0.25">
      <c r="A338" s="175"/>
      <c r="B338" s="175" t="s">
        <v>1317</v>
      </c>
      <c r="C338" s="201"/>
      <c r="D338" s="201"/>
      <c r="E338" s="201"/>
      <c r="F338" s="39"/>
      <c r="G338" s="39"/>
    </row>
    <row r="339" spans="1:7" ht="16.5" x14ac:dyDescent="0.25">
      <c r="A339" s="175"/>
      <c r="B339" s="175" t="s">
        <v>1318</v>
      </c>
      <c r="C339" s="201"/>
      <c r="D339" s="201"/>
      <c r="E339" s="201"/>
      <c r="F339" s="39"/>
      <c r="G339" s="39"/>
    </row>
    <row r="340" spans="1:7" ht="16.5" x14ac:dyDescent="0.25">
      <c r="A340" s="175"/>
      <c r="B340" s="175" t="s">
        <v>1319</v>
      </c>
      <c r="C340" s="201"/>
      <c r="D340" s="201"/>
      <c r="E340" s="201"/>
      <c r="F340" s="39"/>
      <c r="G340" s="39"/>
    </row>
    <row r="341" spans="1:7" ht="16.5" x14ac:dyDescent="0.25">
      <c r="A341" s="175"/>
      <c r="B341" s="175" t="s">
        <v>1320</v>
      </c>
      <c r="C341" s="201"/>
      <c r="D341" s="201"/>
      <c r="E341" s="201"/>
      <c r="F341" s="39"/>
      <c r="G341" s="39"/>
    </row>
    <row r="342" spans="1:7" ht="16.5" x14ac:dyDescent="0.25">
      <c r="A342" s="175"/>
      <c r="B342" s="175" t="s">
        <v>1321</v>
      </c>
      <c r="C342" s="201"/>
      <c r="D342" s="201"/>
      <c r="E342" s="201"/>
      <c r="F342" s="39"/>
      <c r="G342" s="39"/>
    </row>
    <row r="343" spans="1:7" ht="16.5" x14ac:dyDescent="0.25">
      <c r="A343" s="175"/>
      <c r="B343" s="175" t="s">
        <v>1322</v>
      </c>
      <c r="C343" s="201"/>
      <c r="D343" s="201"/>
      <c r="E343" s="201"/>
      <c r="F343" s="39"/>
      <c r="G343" s="39"/>
    </row>
    <row r="344" spans="1:7" ht="16.5" x14ac:dyDescent="0.25">
      <c r="A344" s="175"/>
      <c r="B344" s="175" t="s">
        <v>1323</v>
      </c>
      <c r="C344" s="201"/>
      <c r="D344" s="201"/>
      <c r="E344" s="201"/>
      <c r="F344" s="39"/>
      <c r="G344" s="39"/>
    </row>
    <row r="345" spans="1:7" ht="16.5" x14ac:dyDescent="0.25">
      <c r="A345" s="175"/>
      <c r="B345" s="175" t="s">
        <v>1324</v>
      </c>
      <c r="C345" s="201"/>
      <c r="D345" s="201"/>
      <c r="E345" s="201"/>
      <c r="F345" s="39"/>
      <c r="G345" s="39"/>
    </row>
    <row r="346" spans="1:7" ht="16.5" x14ac:dyDescent="0.25">
      <c r="A346" s="175"/>
      <c r="B346" s="175" t="s">
        <v>1325</v>
      </c>
      <c r="C346" s="201"/>
      <c r="D346" s="201"/>
      <c r="E346" s="201"/>
      <c r="F346" s="39"/>
      <c r="G346" s="39"/>
    </row>
    <row r="347" spans="1:7" ht="16.5" x14ac:dyDescent="0.25">
      <c r="A347" s="175"/>
      <c r="B347" s="175" t="s">
        <v>1326</v>
      </c>
      <c r="C347" s="201"/>
      <c r="D347" s="201"/>
      <c r="E347" s="201"/>
      <c r="F347" s="39"/>
      <c r="G347" s="39"/>
    </row>
    <row r="348" spans="1:7" ht="16.5" x14ac:dyDescent="0.25">
      <c r="A348" s="175"/>
      <c r="B348" s="175" t="s">
        <v>1328</v>
      </c>
      <c r="C348" s="201"/>
      <c r="D348" s="201"/>
      <c r="E348" s="201"/>
      <c r="F348" s="39"/>
      <c r="G348" s="39"/>
    </row>
    <row r="349" spans="1:7" ht="16.5" x14ac:dyDescent="0.25">
      <c r="A349" s="175"/>
      <c r="B349" s="175" t="s">
        <v>1329</v>
      </c>
      <c r="C349" s="201"/>
      <c r="D349" s="201"/>
      <c r="E349" s="201"/>
      <c r="F349" s="39"/>
      <c r="G349" s="39"/>
    </row>
    <row r="350" spans="1:7" ht="16.5" x14ac:dyDescent="0.25">
      <c r="A350" s="175"/>
      <c r="B350" s="175" t="s">
        <v>1330</v>
      </c>
      <c r="C350" s="201"/>
      <c r="D350" s="201"/>
      <c r="E350" s="201"/>
      <c r="F350" s="39"/>
      <c r="G350" s="39"/>
    </row>
    <row r="351" spans="1:7" ht="16.5" x14ac:dyDescent="0.25">
      <c r="A351" s="175"/>
      <c r="B351" s="175" t="s">
        <v>1331</v>
      </c>
      <c r="C351" s="201"/>
      <c r="D351" s="201"/>
      <c r="E351" s="201"/>
      <c r="F351" s="39"/>
      <c r="G351" s="39"/>
    </row>
    <row r="352" spans="1:7" ht="16.5" x14ac:dyDescent="0.25">
      <c r="A352" s="175"/>
      <c r="B352" s="175" t="s">
        <v>1332</v>
      </c>
      <c r="C352" s="201"/>
      <c r="D352" s="201"/>
      <c r="E352" s="201"/>
      <c r="F352" s="39"/>
      <c r="G352" s="39"/>
    </row>
    <row r="353" spans="1:7" ht="16.5" x14ac:dyDescent="0.25">
      <c r="A353" s="175"/>
      <c r="B353" s="175" t="s">
        <v>1333</v>
      </c>
      <c r="C353" s="201"/>
      <c r="D353" s="201"/>
      <c r="E353" s="201"/>
      <c r="F353" s="39"/>
      <c r="G353" s="39"/>
    </row>
    <row r="354" spans="1:7" ht="16.5" x14ac:dyDescent="0.25">
      <c r="A354" s="175"/>
      <c r="B354" s="175" t="s">
        <v>1334</v>
      </c>
      <c r="C354" s="201"/>
      <c r="D354" s="201"/>
      <c r="E354" s="201"/>
      <c r="F354" s="39"/>
      <c r="G354" s="39"/>
    </row>
    <row r="355" spans="1:7" ht="16.5" x14ac:dyDescent="0.25">
      <c r="A355" s="175"/>
      <c r="B355" s="175" t="s">
        <v>1335</v>
      </c>
      <c r="C355" s="201"/>
      <c r="D355" s="201"/>
      <c r="E355" s="201"/>
      <c r="F355" s="39"/>
      <c r="G355" s="39"/>
    </row>
    <row r="356" spans="1:7" ht="16.5" x14ac:dyDescent="0.25">
      <c r="A356" s="175"/>
      <c r="B356" s="175" t="s">
        <v>1336</v>
      </c>
      <c r="C356" s="201"/>
      <c r="D356" s="201"/>
      <c r="E356" s="201"/>
      <c r="F356" s="39"/>
      <c r="G356" s="39"/>
    </row>
    <row r="357" spans="1:7" ht="16.5" x14ac:dyDescent="0.25">
      <c r="A357" s="175"/>
      <c r="B357" s="175" t="s">
        <v>1337</v>
      </c>
      <c r="C357" s="201"/>
      <c r="D357" s="201"/>
      <c r="E357" s="201"/>
      <c r="F357" s="39"/>
      <c r="G357" s="39"/>
    </row>
    <row r="358" spans="1:7" ht="16.5" x14ac:dyDescent="0.25">
      <c r="A358" s="175"/>
      <c r="B358" s="175" t="s">
        <v>1338</v>
      </c>
      <c r="C358" s="201"/>
      <c r="D358" s="201"/>
      <c r="E358" s="201"/>
      <c r="F358" s="39"/>
      <c r="G358" s="39"/>
    </row>
    <row r="359" spans="1:7" ht="16.5" x14ac:dyDescent="0.25">
      <c r="A359" s="175"/>
      <c r="B359" s="175" t="s">
        <v>1339</v>
      </c>
      <c r="C359" s="201"/>
      <c r="D359" s="201"/>
      <c r="E359" s="201"/>
      <c r="F359" s="39"/>
      <c r="G359" s="39"/>
    </row>
    <row r="360" spans="1:7" ht="16.5" x14ac:dyDescent="0.25">
      <c r="A360" s="175"/>
      <c r="B360" s="175" t="s">
        <v>1340</v>
      </c>
      <c r="C360" s="201"/>
      <c r="D360" s="201"/>
      <c r="E360" s="201"/>
      <c r="F360" s="39"/>
      <c r="G360" s="39"/>
    </row>
    <row r="361" spans="1:7" ht="16.5" x14ac:dyDescent="0.25">
      <c r="A361" s="175"/>
      <c r="B361" s="175" t="s">
        <v>1341</v>
      </c>
      <c r="C361" s="201"/>
      <c r="D361" s="201"/>
      <c r="E361" s="201"/>
      <c r="F361" s="39"/>
      <c r="G361" s="39"/>
    </row>
    <row r="362" spans="1:7" ht="16.5" x14ac:dyDescent="0.25">
      <c r="A362" s="175"/>
      <c r="B362" s="175" t="s">
        <v>1342</v>
      </c>
      <c r="C362" s="201"/>
      <c r="D362" s="201"/>
      <c r="E362" s="201"/>
      <c r="F362" s="39"/>
      <c r="G362" s="39"/>
    </row>
    <row r="363" spans="1:7" ht="16.5" x14ac:dyDescent="0.25">
      <c r="A363" s="175"/>
      <c r="B363" s="175" t="s">
        <v>1343</v>
      </c>
      <c r="C363" s="201"/>
      <c r="D363" s="201"/>
      <c r="E363" s="201"/>
      <c r="F363" s="39"/>
      <c r="G363" s="39"/>
    </row>
    <row r="364" spans="1:7" ht="16.5" x14ac:dyDescent="0.25">
      <c r="A364" s="175"/>
      <c r="B364" s="175" t="s">
        <v>1344</v>
      </c>
      <c r="C364" s="201"/>
      <c r="D364" s="201"/>
      <c r="E364" s="201"/>
      <c r="F364" s="39"/>
      <c r="G364" s="39"/>
    </row>
    <row r="365" spans="1:7" ht="16.5" x14ac:dyDescent="0.25">
      <c r="A365" s="175"/>
      <c r="B365" s="175" t="s">
        <v>1345</v>
      </c>
      <c r="C365" s="201"/>
      <c r="D365" s="201"/>
      <c r="E365" s="201"/>
      <c r="F365" s="39"/>
      <c r="G365" s="39"/>
    </row>
    <row r="366" spans="1:7" ht="16.5" x14ac:dyDescent="0.25">
      <c r="A366" s="175"/>
      <c r="B366" s="175" t="s">
        <v>1346</v>
      </c>
      <c r="C366" s="201"/>
      <c r="D366" s="201"/>
      <c r="E366" s="201"/>
      <c r="F366" s="39"/>
      <c r="G366" s="39"/>
    </row>
    <row r="367" spans="1:7" ht="16.5" x14ac:dyDescent="0.25">
      <c r="A367" s="175"/>
      <c r="B367" s="175" t="s">
        <v>1347</v>
      </c>
      <c r="C367" s="201"/>
      <c r="D367" s="201"/>
      <c r="E367" s="201"/>
      <c r="F367" s="39"/>
      <c r="G367" s="39"/>
    </row>
    <row r="368" spans="1:7" ht="16.5" x14ac:dyDescent="0.25">
      <c r="A368" s="175"/>
      <c r="B368" s="175" t="s">
        <v>1348</v>
      </c>
      <c r="C368" s="201"/>
      <c r="D368" s="201"/>
      <c r="E368" s="201"/>
      <c r="F368" s="39"/>
      <c r="G368" s="39"/>
    </row>
    <row r="369" spans="1:7" ht="16.5" x14ac:dyDescent="0.25">
      <c r="A369" s="175"/>
      <c r="B369" s="175" t="s">
        <v>1349</v>
      </c>
      <c r="C369" s="201"/>
      <c r="D369" s="201"/>
      <c r="E369" s="201"/>
      <c r="F369" s="39"/>
      <c r="G369" s="39"/>
    </row>
    <row r="370" spans="1:7" ht="16.5" x14ac:dyDescent="0.25">
      <c r="A370" s="175"/>
      <c r="B370" s="175" t="s">
        <v>1350</v>
      </c>
      <c r="C370" s="201"/>
      <c r="D370" s="201"/>
      <c r="E370" s="201"/>
      <c r="F370" s="39"/>
      <c r="G370" s="39"/>
    </row>
    <row r="371" spans="1:7" ht="16.5" x14ac:dyDescent="0.25">
      <c r="A371" s="175"/>
      <c r="B371" s="175" t="s">
        <v>1351</v>
      </c>
      <c r="C371" s="201"/>
      <c r="D371" s="201"/>
      <c r="E371" s="201"/>
      <c r="F371" s="39"/>
      <c r="G371" s="39"/>
    </row>
    <row r="372" spans="1:7" ht="16.5" x14ac:dyDescent="0.25">
      <c r="A372" s="175"/>
      <c r="B372" s="175" t="s">
        <v>1352</v>
      </c>
      <c r="C372" s="201"/>
      <c r="D372" s="201"/>
      <c r="E372" s="201"/>
      <c r="F372" s="39"/>
      <c r="G372" s="39"/>
    </row>
    <row r="373" spans="1:7" ht="16.5" x14ac:dyDescent="0.3">
      <c r="A373" s="175"/>
      <c r="B373" s="175" t="s">
        <v>1353</v>
      </c>
      <c r="C373" s="200"/>
      <c r="D373" s="196"/>
      <c r="E373" s="196"/>
      <c r="F373" s="39"/>
      <c r="G373" s="39"/>
    </row>
    <row r="374" spans="1:7" ht="16.5" x14ac:dyDescent="0.3">
      <c r="A374" s="175"/>
      <c r="B374" s="175" t="s">
        <v>1354</v>
      </c>
      <c r="C374" s="200"/>
      <c r="D374" s="196"/>
      <c r="E374" s="196"/>
      <c r="F374" s="39"/>
      <c r="G374" s="39"/>
    </row>
    <row r="375" spans="1:7" ht="16.5" x14ac:dyDescent="0.3">
      <c r="A375" s="175"/>
      <c r="B375" s="175" t="s">
        <v>1355</v>
      </c>
      <c r="C375" s="200"/>
      <c r="D375" s="196"/>
      <c r="E375" s="196"/>
      <c r="F375" s="39"/>
      <c r="G375" s="39"/>
    </row>
    <row r="376" spans="1:7" ht="16.5" x14ac:dyDescent="0.3">
      <c r="A376" s="175"/>
      <c r="B376" s="175" t="s">
        <v>1356</v>
      </c>
      <c r="C376" s="200"/>
      <c r="D376" s="196"/>
      <c r="E376" s="196"/>
      <c r="F376" s="39"/>
      <c r="G376" s="39"/>
    </row>
    <row r="377" spans="1:7" ht="16.5" x14ac:dyDescent="0.3">
      <c r="A377" s="175"/>
      <c r="B377" s="175" t="s">
        <v>1357</v>
      </c>
      <c r="C377" s="200"/>
      <c r="D377" s="196"/>
      <c r="E377" s="196"/>
      <c r="F377" s="39"/>
      <c r="G377" s="39"/>
    </row>
  </sheetData>
  <phoneticPr fontId="27" type="noConversion"/>
  <conditionalFormatting sqref="D1">
    <cfRule type="duplicateValues" dxfId="20" priority="56"/>
  </conditionalFormatting>
  <conditionalFormatting sqref="D1">
    <cfRule type="duplicateValues" dxfId="19" priority="61"/>
  </conditionalFormatting>
  <conditionalFormatting sqref="D187:D188">
    <cfRule type="duplicateValues" dxfId="18" priority="17"/>
  </conditionalFormatting>
  <conditionalFormatting sqref="D192:D202">
    <cfRule type="duplicateValues" dxfId="17" priority="16"/>
  </conditionalFormatting>
  <conditionalFormatting sqref="D203:D214">
    <cfRule type="duplicateValues" dxfId="16" priority="15"/>
  </conditionalFormatting>
  <conditionalFormatting sqref="D215:D219">
    <cfRule type="duplicateValues" dxfId="15" priority="14"/>
  </conditionalFormatting>
  <conditionalFormatting sqref="D220:D229">
    <cfRule type="duplicateValues" dxfId="14" priority="13"/>
  </conditionalFormatting>
  <conditionalFormatting sqref="D232:D238">
    <cfRule type="duplicateValues" dxfId="13" priority="12"/>
  </conditionalFormatting>
  <conditionalFormatting sqref="D239:D243">
    <cfRule type="duplicateValues" dxfId="12" priority="11"/>
  </conditionalFormatting>
  <conditionalFormatting sqref="D258:D264">
    <cfRule type="duplicateValues" dxfId="11" priority="10"/>
  </conditionalFormatting>
  <conditionalFormatting sqref="D265:D272">
    <cfRule type="duplicateValues" dxfId="10" priority="9"/>
  </conditionalFormatting>
  <conditionalFormatting sqref="D244:D255">
    <cfRule type="duplicateValues" dxfId="9" priority="8"/>
  </conditionalFormatting>
  <conditionalFormatting sqref="D273:D280">
    <cfRule type="duplicateValues" dxfId="8" priority="7"/>
  </conditionalFormatting>
  <conditionalFormatting sqref="D256:D257">
    <cfRule type="duplicateValues" dxfId="7" priority="6"/>
  </conditionalFormatting>
  <conditionalFormatting sqref="D230:D231 D281:D287">
    <cfRule type="duplicateValues" dxfId="6" priority="5"/>
  </conditionalFormatting>
  <conditionalFormatting sqref="D288:D372">
    <cfRule type="duplicateValues" dxfId="5" priority="4"/>
  </conditionalFormatting>
  <conditionalFormatting sqref="D191">
    <cfRule type="duplicateValues" dxfId="4" priority="2"/>
  </conditionalFormatting>
  <conditionalFormatting sqref="D190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53"/>
  <sheetViews>
    <sheetView showGridLines="0" topLeftCell="B25" zoomScale="70" zoomScaleNormal="70" workbookViewId="0">
      <selection activeCell="J27" sqref="J27"/>
    </sheetView>
  </sheetViews>
  <sheetFormatPr defaultColWidth="9" defaultRowHeight="16.5" x14ac:dyDescent="0.3"/>
  <cols>
    <col min="1" max="1" width="9" style="87"/>
    <col min="2" max="24" width="9" style="87" customWidth="1"/>
    <col min="25" max="25" width="9" style="87"/>
    <col min="26" max="30" width="9" style="87" customWidth="1"/>
    <col min="31" max="16384" width="9" style="87"/>
  </cols>
  <sheetData>
    <row r="1" spans="2:30" ht="33.75" customHeight="1" x14ac:dyDescent="0.3">
      <c r="B1" s="550" t="s">
        <v>326</v>
      </c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  <c r="S1" s="550"/>
      <c r="T1" s="550"/>
      <c r="U1" s="550"/>
      <c r="V1" s="550"/>
      <c r="W1" s="550"/>
      <c r="X1" s="550"/>
      <c r="Y1" s="550"/>
      <c r="Z1" s="550"/>
      <c r="AA1" s="550"/>
      <c r="AB1" s="550"/>
      <c r="AC1" s="550"/>
      <c r="AD1" s="550"/>
    </row>
    <row r="2" spans="2:30" ht="17.25" thickBot="1" x14ac:dyDescent="0.35"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</row>
    <row r="3" spans="2:30" ht="17.25" thickBot="1" x14ac:dyDescent="0.35">
      <c r="B3" s="90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2"/>
      <c r="O3" s="92"/>
      <c r="P3" s="92"/>
      <c r="Q3" s="92"/>
      <c r="R3" s="92"/>
      <c r="S3" s="93"/>
      <c r="T3" s="92"/>
      <c r="U3" s="92"/>
      <c r="V3" s="92"/>
      <c r="W3" s="92"/>
      <c r="X3" s="92"/>
      <c r="Y3" s="92"/>
      <c r="Z3" s="92"/>
      <c r="AA3" s="92"/>
      <c r="AB3" s="92"/>
      <c r="AC3" s="92"/>
      <c r="AD3" s="94"/>
    </row>
    <row r="4" spans="2:30" ht="17.25" thickBot="1" x14ac:dyDescent="0.35">
      <c r="B4" s="95"/>
      <c r="C4" s="96"/>
      <c r="D4" s="96"/>
      <c r="E4" s="96"/>
      <c r="F4" s="96"/>
      <c r="G4" s="96"/>
      <c r="H4" s="96"/>
      <c r="I4" s="96"/>
      <c r="J4" s="96"/>
      <c r="K4" s="96"/>
      <c r="L4" s="96"/>
      <c r="M4" s="97"/>
      <c r="N4" s="98"/>
      <c r="O4" s="98"/>
      <c r="P4" s="98"/>
      <c r="Q4" s="98"/>
      <c r="R4" s="98"/>
      <c r="S4" s="99"/>
      <c r="T4" s="96"/>
      <c r="U4" s="551"/>
      <c r="V4" s="98"/>
      <c r="W4" s="98"/>
      <c r="X4" s="98"/>
      <c r="Y4" s="98"/>
      <c r="Z4" s="98"/>
      <c r="AA4" s="98"/>
      <c r="AB4" s="98"/>
      <c r="AC4" s="98"/>
      <c r="AD4" s="100"/>
    </row>
    <row r="5" spans="2:30" ht="18" customHeight="1" x14ac:dyDescent="0.3">
      <c r="B5" s="101" t="s">
        <v>498</v>
      </c>
      <c r="C5" s="101" t="s">
        <v>503</v>
      </c>
      <c r="D5" s="101" t="s">
        <v>504</v>
      </c>
      <c r="E5" s="101" t="s">
        <v>506</v>
      </c>
      <c r="F5" s="101" t="s">
        <v>507</v>
      </c>
      <c r="G5" s="102"/>
      <c r="H5" s="101" t="s">
        <v>526</v>
      </c>
      <c r="I5" s="101" t="s">
        <v>563</v>
      </c>
      <c r="J5" s="101" t="s">
        <v>565</v>
      </c>
      <c r="K5" s="101" t="s">
        <v>566</v>
      </c>
      <c r="L5" s="101" t="s">
        <v>555</v>
      </c>
      <c r="M5" s="103"/>
      <c r="N5" s="101" t="s">
        <v>570</v>
      </c>
      <c r="O5" s="101" t="s">
        <v>572</v>
      </c>
      <c r="P5" s="101" t="s">
        <v>573</v>
      </c>
      <c r="Q5" s="101" t="s">
        <v>575</v>
      </c>
      <c r="R5" s="101" t="s">
        <v>576</v>
      </c>
      <c r="S5" s="101" t="s">
        <v>578</v>
      </c>
      <c r="T5" s="101" t="s">
        <v>579</v>
      </c>
      <c r="U5" s="552"/>
      <c r="V5" s="104" t="s">
        <v>616</v>
      </c>
      <c r="W5" s="104" t="s">
        <v>618</v>
      </c>
      <c r="X5" s="104" t="s">
        <v>619</v>
      </c>
      <c r="Y5" s="105"/>
      <c r="Z5" s="104" t="s">
        <v>633</v>
      </c>
      <c r="AA5" s="104" t="s">
        <v>634</v>
      </c>
      <c r="AB5" s="104" t="s">
        <v>635</v>
      </c>
      <c r="AC5" s="104" t="s">
        <v>636</v>
      </c>
      <c r="AD5" s="104" t="s">
        <v>637</v>
      </c>
    </row>
    <row r="6" spans="2:30" ht="18" customHeight="1" thickBot="1" x14ac:dyDescent="0.35">
      <c r="B6" s="106" t="str">
        <f>IFERROR(VLOOKUP(B5,'ET 시간 배정'!$B:$F,3,FALSE)&amp;"("&amp;VLOOKUP(B5,'ET 시간 배정'!$B:$F,2,FALSE)&amp;")","")</f>
        <v/>
      </c>
      <c r="C6" s="106" t="str">
        <f>IFERROR(VLOOKUP(C5,'ET 시간 배정'!$B:$F,3,FALSE)&amp;"("&amp;VLOOKUP(C5,'ET 시간 배정'!$B:$F,2,FALSE)&amp;")","")</f>
        <v>구도연(9)</v>
      </c>
      <c r="D6" s="106" t="str">
        <f>IFERROR(VLOOKUP(D5,'ET 시간 배정'!$B:$F,3,FALSE)&amp;"("&amp;VLOOKUP(D5,'ET 시간 배정'!$B:$F,2,FALSE)&amp;")","")</f>
        <v/>
      </c>
      <c r="E6" s="106" t="str">
        <f>IFERROR(VLOOKUP(E5,'ET 시간 배정'!$B:$F,3,FALSE)&amp;"("&amp;VLOOKUP(E5,'ET 시간 배정'!$B:$F,2,FALSE)&amp;")","")</f>
        <v>곽은규(9)</v>
      </c>
      <c r="F6" s="106" t="str">
        <f>IFERROR(VLOOKUP(F5,'ET 시간 배정'!$B:$F,3,FALSE)&amp;"("&amp;VLOOKUP(F5,'ET 시간 배정'!$B:$F,2,FALSE)&amp;")","")</f>
        <v/>
      </c>
      <c r="G6" s="105"/>
      <c r="H6" s="106" t="str">
        <f>IFERROR(VLOOKUP(H5,'ET 시간 배정'!$B:$F,3,FALSE)&amp;"("&amp;VLOOKUP(H5,'ET 시간 배정'!$B:$F,2,FALSE)&amp;")","")</f>
        <v>공은비(9)</v>
      </c>
      <c r="I6" s="106" t="str">
        <f>IFERROR(VLOOKUP(I5,'ET 시간 배정'!$B:$F,3,FALSE)&amp;"("&amp;VLOOKUP(I5,'ET 시간 배정'!$B:$F,2,FALSE)&amp;")","")</f>
        <v/>
      </c>
      <c r="J6" s="106" t="str">
        <f>IFERROR(VLOOKUP(J5,'ET 시간 배정'!$B:$F,3,FALSE)&amp;"("&amp;VLOOKUP(J5,'ET 시간 배정'!$B:$F,2,FALSE)&amp;")","")</f>
        <v>강승현(9)</v>
      </c>
      <c r="K6" s="106" t="str">
        <f>IFERROR(VLOOKUP(K5,'ET 시간 배정'!$B:$F,3,FALSE)&amp;"("&amp;VLOOKUP(K5,'ET 시간 배정'!$B:$F,2,FALSE)&amp;")","")</f>
        <v/>
      </c>
      <c r="L6" s="106" t="str">
        <f>IFERROR(VLOOKUP(L5,'ET 시간 배정'!$B:$F,3,FALSE)&amp;"("&amp;VLOOKUP(L5,'ET 시간 배정'!$B:$F,2,FALSE)&amp;")","")</f>
        <v>정윤주(8)</v>
      </c>
      <c r="M6" s="103"/>
      <c r="N6" s="106" t="str">
        <f>IFERROR(VLOOKUP(N5,'ET 시간 배정'!$B:$F,3,FALSE)&amp;"("&amp;VLOOKUP(N5,'ET 시간 배정'!$B:$F,2,FALSE)&amp;")","")</f>
        <v/>
      </c>
      <c r="O6" s="106" t="str">
        <f>IFERROR(VLOOKUP(O5,'ET 시간 배정'!$B:$F,3,FALSE)&amp;"("&amp;VLOOKUP(O5,'ET 시간 배정'!$B:$F,2,FALSE)&amp;")","")</f>
        <v>임효진(8)</v>
      </c>
      <c r="P6" s="106" t="str">
        <f>IFERROR(VLOOKUP(P5,'ET 시간 배정'!$B:$F,3,FALSE)&amp;"("&amp;VLOOKUP(P5,'ET 시간 배정'!$B:$F,2,FALSE)&amp;")","")</f>
        <v/>
      </c>
      <c r="Q6" s="106" t="str">
        <f>IFERROR(VLOOKUP(Q5,'ET 시간 배정'!$B:$F,3,FALSE)&amp;"("&amp;VLOOKUP(Q5,'ET 시간 배정'!$B:$F,2,FALSE)&amp;")","")</f>
        <v>이태윤(8)</v>
      </c>
      <c r="R6" s="106" t="str">
        <f>IFERROR(VLOOKUP(R5,'ET 시간 배정'!$B:$F,3,FALSE)&amp;"("&amp;VLOOKUP(R5,'ET 시간 배정'!$B:$F,2,FALSE)&amp;")","")</f>
        <v/>
      </c>
      <c r="S6" s="106" t="str">
        <f>IFERROR(VLOOKUP(S5,'ET 시간 배정'!$B:$F,3,FALSE)&amp;"("&amp;VLOOKUP(S5,'ET 시간 배정'!$B:$F,2,FALSE)&amp;")","")</f>
        <v>이지연(8)</v>
      </c>
      <c r="T6" s="106" t="str">
        <f>IFERROR(VLOOKUP(T5,'ET 시간 배정'!$B:$F,3,FALSE)&amp;"("&amp;VLOOKUP(T5,'ET 시간 배정'!$B:$F,2,FALSE)&amp;")","")</f>
        <v/>
      </c>
      <c r="U6" s="552"/>
      <c r="V6" s="106" t="str">
        <f>IFERROR(VLOOKUP(V5,'ET 시간 배정'!$B:$F,3,FALSE)&amp;"("&amp;VLOOKUP(V5,'ET 시간 배정'!$B:$F,2,FALSE)&amp;")","")</f>
        <v/>
      </c>
      <c r="W6" s="106" t="str">
        <f>IFERROR(VLOOKUP(W5,'ET 시간 배정'!$B:$F,3,FALSE)&amp;"("&amp;VLOOKUP(W5,'ET 시간 배정'!$B:$F,2,FALSE)&amp;")","")</f>
        <v>이여명(8)</v>
      </c>
      <c r="X6" s="106" t="str">
        <f>IFERROR(VLOOKUP(X5,'ET 시간 배정'!$B:$F,3,FALSE)&amp;"("&amp;VLOOKUP(X5,'ET 시간 배정'!$B:$F,2,FALSE)&amp;")","")</f>
        <v/>
      </c>
      <c r="Y6" s="105"/>
      <c r="Z6" s="106" t="str">
        <f>IFERROR(VLOOKUP(Z5,'ET 시간 배정'!$B:$F,3,FALSE)&amp;"("&amp;VLOOKUP(Z5,'ET 시간 배정'!$B:$F,2,FALSE)&amp;")","")</f>
        <v>우성민(8)</v>
      </c>
      <c r="AA6" s="106" t="str">
        <f>IFERROR(VLOOKUP(AA5,'ET 시간 배정'!$B:$F,3,FALSE)&amp;"("&amp;VLOOKUP(AA5,'ET 시간 배정'!$B:$F,2,FALSE)&amp;")","")</f>
        <v/>
      </c>
      <c r="AB6" s="106" t="str">
        <f>IFERROR(VLOOKUP(AB5,'ET 시간 배정'!$B:$F,3,FALSE)&amp;"("&amp;VLOOKUP(AB5,'ET 시간 배정'!$B:$F,2,FALSE)&amp;")","")</f>
        <v>서장원(8)</v>
      </c>
      <c r="AC6" s="106" t="str">
        <f>IFERROR(VLOOKUP(AC5,'ET 시간 배정'!$B:$F,3,FALSE)&amp;"("&amp;VLOOKUP(AC5,'ET 시간 배정'!$B:$F,2,FALSE)&amp;")","")</f>
        <v/>
      </c>
      <c r="AD6" s="106" t="str">
        <f>IFERROR(VLOOKUP(AD5,'ET 시간 배정'!$B:$F,3,FALSE)&amp;"("&amp;VLOOKUP(AD5,'ET 시간 배정'!$B:$F,2,FALSE)&amp;")","")</f>
        <v>김영환(8)</v>
      </c>
    </row>
    <row r="7" spans="2:30" ht="18" customHeight="1" x14ac:dyDescent="0.3">
      <c r="B7" s="101" t="s">
        <v>500</v>
      </c>
      <c r="C7" s="101" t="s">
        <v>501</v>
      </c>
      <c r="D7" s="101" t="s">
        <v>568</v>
      </c>
      <c r="E7" s="101" t="s">
        <v>569</v>
      </c>
      <c r="F7" s="101" t="s">
        <v>509</v>
      </c>
      <c r="G7" s="105"/>
      <c r="H7" s="101" t="s">
        <v>562</v>
      </c>
      <c r="I7" s="101" t="s">
        <v>561</v>
      </c>
      <c r="J7" s="101" t="s">
        <v>559</v>
      </c>
      <c r="K7" s="101" t="s">
        <v>558</v>
      </c>
      <c r="L7" s="101" t="s">
        <v>556</v>
      </c>
      <c r="M7" s="107"/>
      <c r="N7" s="101" t="s">
        <v>590</v>
      </c>
      <c r="O7" s="101" t="s">
        <v>588</v>
      </c>
      <c r="P7" s="101" t="s">
        <v>587</v>
      </c>
      <c r="Q7" s="101" t="s">
        <v>585</v>
      </c>
      <c r="R7" s="101" t="s">
        <v>584</v>
      </c>
      <c r="S7" s="101" t="s">
        <v>582</v>
      </c>
      <c r="T7" s="101" t="s">
        <v>581</v>
      </c>
      <c r="U7" s="552"/>
      <c r="V7" s="104" t="s">
        <v>621</v>
      </c>
      <c r="W7" s="104" t="s">
        <v>622</v>
      </c>
      <c r="X7" s="104" t="s">
        <v>624</v>
      </c>
      <c r="Y7" s="105"/>
      <c r="Z7" s="104" t="s">
        <v>642</v>
      </c>
      <c r="AA7" s="104" t="s">
        <v>641</v>
      </c>
      <c r="AB7" s="104" t="s">
        <v>640</v>
      </c>
      <c r="AC7" s="104" t="s">
        <v>639</v>
      </c>
      <c r="AD7" s="104" t="s">
        <v>638</v>
      </c>
    </row>
    <row r="8" spans="2:30" ht="18" customHeight="1" thickBot="1" x14ac:dyDescent="0.35">
      <c r="B8" s="106" t="str">
        <f>IFERROR(VLOOKUP(B7,'ET 시간 배정'!$B:$F,3,FALSE)&amp;"("&amp;VLOOKUP(B7,'ET 시간 배정'!$B:$F,2,FALSE)&amp;")","")</f>
        <v>육다희(8)</v>
      </c>
      <c r="C8" s="106" t="str">
        <f>IFERROR(VLOOKUP(C7,'ET 시간 배정'!$B:$F,3,FALSE)&amp;"("&amp;VLOOKUP(C7,'ET 시간 배정'!$B:$F,2,FALSE)&amp;")","")</f>
        <v/>
      </c>
      <c r="D8" s="106" t="str">
        <f>IFERROR(VLOOKUP(D7,'ET 시간 배정'!$B:$F,3,FALSE)&amp;"("&amp;VLOOKUP(D7,'ET 시간 배정'!$B:$F,2,FALSE)&amp;")","")</f>
        <v>오연서(8)</v>
      </c>
      <c r="E8" s="106" t="str">
        <f>IFERROR(VLOOKUP(E7,'ET 시간 배정'!$B:$F,3,FALSE)&amp;"("&amp;VLOOKUP(E7,'ET 시간 배정'!$B:$F,2,FALSE)&amp;")","")</f>
        <v/>
      </c>
      <c r="F8" s="106" t="str">
        <f>IFERROR(VLOOKUP(F7,'ET 시간 배정'!$B:$F,3,FALSE)&amp;"("&amp;VLOOKUP(F7,'ET 시간 배정'!$B:$F,2,FALSE)&amp;")","")</f>
        <v>양지혜(8)</v>
      </c>
      <c r="G8" s="105"/>
      <c r="H8" s="106" t="str">
        <f>IFERROR(VLOOKUP(H7,'ET 시간 배정'!$B:$F,3,FALSE)&amp;"("&amp;VLOOKUP(H7,'ET 시간 배정'!$B:$F,2,FALSE)&amp;")","")</f>
        <v/>
      </c>
      <c r="I8" s="106" t="str">
        <f>IFERROR(VLOOKUP(I7,'ET 시간 배정'!$B:$F,3,FALSE)&amp;"("&amp;VLOOKUP(I7,'ET 시간 배정'!$B:$F,2,FALSE)&amp;")","")</f>
        <v>심서진(8)</v>
      </c>
      <c r="J8" s="106" t="str">
        <f>IFERROR(VLOOKUP(J7,'ET 시간 배정'!$B:$F,3,FALSE)&amp;"("&amp;VLOOKUP(J7,'ET 시간 배정'!$B:$F,2,FALSE)&amp;")","")</f>
        <v/>
      </c>
      <c r="K8" s="106" t="str">
        <f>IFERROR(VLOOKUP(K7,'ET 시간 배정'!$B:$F,3,FALSE)&amp;"("&amp;VLOOKUP(K7,'ET 시간 배정'!$B:$F,2,FALSE)&amp;")","")</f>
        <v>송예은(8)</v>
      </c>
      <c r="L8" s="106" t="str">
        <f>IFERROR(VLOOKUP(L7,'ET 시간 배정'!$B:$F,3,FALSE)&amp;"("&amp;VLOOKUP(L7,'ET 시간 배정'!$B:$F,2,FALSE)&amp;")","")</f>
        <v/>
      </c>
      <c r="M8" s="107"/>
      <c r="N8" s="106" t="str">
        <f>IFERROR(VLOOKUP(N7,'ET 시간 배정'!$B:$F,3,FALSE)&amp;"("&amp;VLOOKUP(N7,'ET 시간 배정'!$B:$F,2,FALSE)&amp;")","")</f>
        <v>손민서(8)</v>
      </c>
      <c r="O8" s="106" t="str">
        <f>IFERROR(VLOOKUP(O7,'ET 시간 배정'!$B:$F,3,FALSE)&amp;"("&amp;VLOOKUP(O7,'ET 시간 배정'!$B:$F,2,FALSE)&amp;")","")</f>
        <v/>
      </c>
      <c r="P8" s="106" t="str">
        <f>IFERROR(VLOOKUP(P7,'ET 시간 배정'!$B:$F,3,FALSE)&amp;"("&amp;VLOOKUP(P7,'ET 시간 배정'!$B:$F,2,FALSE)&amp;")","")</f>
        <v>박수연(8)</v>
      </c>
      <c r="Q8" s="106" t="str">
        <f>IFERROR(VLOOKUP(Q7,'ET 시간 배정'!$B:$F,3,FALSE)&amp;"("&amp;VLOOKUP(Q7,'ET 시간 배정'!$B:$F,2,FALSE)&amp;")","")</f>
        <v/>
      </c>
      <c r="R8" s="106" t="str">
        <f>IFERROR(VLOOKUP(R7,'ET 시간 배정'!$B:$F,3,FALSE)&amp;"("&amp;VLOOKUP(R7,'ET 시간 배정'!$B:$F,2,FALSE)&amp;")","")</f>
        <v>박수민(8)</v>
      </c>
      <c r="S8" s="106" t="str">
        <f>IFERROR(VLOOKUP(S7,'ET 시간 배정'!$B:$F,3,FALSE)&amp;"("&amp;VLOOKUP(S7,'ET 시간 배정'!$B:$F,2,FALSE)&amp;")","")</f>
        <v/>
      </c>
      <c r="T8" s="106" t="str">
        <f>IFERROR(VLOOKUP(T7,'ET 시간 배정'!$B:$F,3,FALSE)&amp;"("&amp;VLOOKUP(T7,'ET 시간 배정'!$B:$F,2,FALSE)&amp;")","")</f>
        <v>김세은(8)</v>
      </c>
      <c r="U8" s="552"/>
      <c r="V8" s="106" t="str">
        <f>IFERROR(VLOOKUP(V7,'ET 시간 배정'!$B:$F,3,FALSE)&amp;"("&amp;VLOOKUP(V7,'ET 시간 배정'!$B:$F,2,FALSE)&amp;")","")</f>
        <v>김상민(8)</v>
      </c>
      <c r="W8" s="106" t="str">
        <f>IFERROR(VLOOKUP(W7,'ET 시간 배정'!$B:$F,3,FALSE)&amp;"("&amp;VLOOKUP(W7,'ET 시간 배정'!$B:$F,2,FALSE)&amp;")","")</f>
        <v/>
      </c>
      <c r="X8" s="106" t="str">
        <f>IFERROR(VLOOKUP(X7,'ET 시간 배정'!$B:$F,3,FALSE)&amp;"("&amp;VLOOKUP(X7,'ET 시간 배정'!$B:$F,2,FALSE)&amp;")","")</f>
        <v>김린우(8)</v>
      </c>
      <c r="Y8" s="105"/>
      <c r="Z8" s="106" t="str">
        <f>IFERROR(VLOOKUP(Z7,'ET 시간 배정'!$B:$F,3,FALSE)&amp;"("&amp;VLOOKUP(Z7,'ET 시간 배정'!$B:$F,2,FALSE)&amp;")","")</f>
        <v/>
      </c>
      <c r="AA8" s="106" t="str">
        <f>IFERROR(VLOOKUP(AA7,'ET 시간 배정'!$B:$F,3,FALSE)&amp;"("&amp;VLOOKUP(AA7,'ET 시간 배정'!$B:$F,2,FALSE)&amp;")","")</f>
        <v>김도임(8)</v>
      </c>
      <c r="AB8" s="106" t="str">
        <f>IFERROR(VLOOKUP(AB7,'ET 시간 배정'!$B:$F,3,FALSE)&amp;"("&amp;VLOOKUP(AB7,'ET 시간 배정'!$B:$F,2,FALSE)&amp;")","")</f>
        <v/>
      </c>
      <c r="AC8" s="106" t="str">
        <f>IFERROR(VLOOKUP(AC7,'ET 시간 배정'!$B:$F,3,FALSE)&amp;"("&amp;VLOOKUP(AC7,'ET 시간 배정'!$B:$F,2,FALSE)&amp;")","")</f>
        <v>권원재(8)</v>
      </c>
      <c r="AD8" s="106" t="str">
        <f>IFERROR(VLOOKUP(AD7,'ET 시간 배정'!$B:$F,3,FALSE)&amp;"("&amp;VLOOKUP(AD7,'ET 시간 배정'!$B:$F,2,FALSE)&amp;")","")</f>
        <v/>
      </c>
    </row>
    <row r="9" spans="2:30" ht="18" customHeight="1" thickBot="1" x14ac:dyDescent="0.35">
      <c r="B9" s="95"/>
      <c r="C9" s="96"/>
      <c r="D9" s="96"/>
      <c r="E9" s="96"/>
      <c r="F9" s="96"/>
      <c r="G9" s="105"/>
      <c r="H9" s="96"/>
      <c r="I9" s="96"/>
      <c r="J9" s="96"/>
      <c r="K9" s="96"/>
      <c r="L9" s="96"/>
      <c r="M9" s="108"/>
      <c r="N9" s="98"/>
      <c r="O9" s="98"/>
      <c r="P9" s="98"/>
      <c r="Q9" s="98"/>
      <c r="R9" s="98"/>
      <c r="S9" s="109"/>
      <c r="T9" s="96"/>
      <c r="U9" s="552"/>
      <c r="V9" s="110"/>
      <c r="W9" s="110"/>
      <c r="X9" s="110"/>
      <c r="Y9" s="105"/>
      <c r="Z9" s="110"/>
      <c r="AA9" s="110"/>
      <c r="AB9" s="110"/>
      <c r="AC9" s="110"/>
      <c r="AD9" s="111"/>
    </row>
    <row r="10" spans="2:30" ht="18" customHeight="1" x14ac:dyDescent="0.3">
      <c r="B10" s="101" t="s">
        <v>516</v>
      </c>
      <c r="C10" s="101" t="s">
        <v>515</v>
      </c>
      <c r="D10" s="101" t="s">
        <v>513</v>
      </c>
      <c r="E10" s="101" t="s">
        <v>512</v>
      </c>
      <c r="F10" s="101" t="s">
        <v>510</v>
      </c>
      <c r="G10" s="105"/>
      <c r="H10" s="101" t="s">
        <v>547</v>
      </c>
      <c r="I10" s="101" t="s">
        <v>548</v>
      </c>
      <c r="J10" s="101" t="s">
        <v>550</v>
      </c>
      <c r="K10" s="101" t="s">
        <v>551</v>
      </c>
      <c r="L10" s="101" t="s">
        <v>553</v>
      </c>
      <c r="M10" s="107"/>
      <c r="N10" s="101" t="s">
        <v>591</v>
      </c>
      <c r="O10" s="101" t="s">
        <v>596</v>
      </c>
      <c r="P10" s="101" t="s">
        <v>597</v>
      </c>
      <c r="Q10" s="101" t="s">
        <v>599</v>
      </c>
      <c r="R10" s="101" t="s">
        <v>600</v>
      </c>
      <c r="S10" s="101" t="s">
        <v>602</v>
      </c>
      <c r="T10" s="101" t="s">
        <v>603</v>
      </c>
      <c r="U10" s="552"/>
      <c r="V10" s="104" t="s">
        <v>628</v>
      </c>
      <c r="W10" s="104" t="s">
        <v>627</v>
      </c>
      <c r="X10" s="104" t="s">
        <v>625</v>
      </c>
      <c r="Y10" s="105"/>
      <c r="Z10" s="104" t="s">
        <v>644</v>
      </c>
      <c r="AA10" s="104" t="s">
        <v>646</v>
      </c>
      <c r="AB10" s="104" t="s">
        <v>647</v>
      </c>
      <c r="AC10" s="104" t="s">
        <v>648</v>
      </c>
      <c r="AD10" s="104" t="s">
        <v>650</v>
      </c>
    </row>
    <row r="11" spans="2:30" ht="18" customHeight="1" thickBot="1" x14ac:dyDescent="0.35">
      <c r="B11" s="106" t="str">
        <f>IFERROR(VLOOKUP(B10,'ET 시간 배정'!$B:$F,3,FALSE)&amp;"("&amp;VLOOKUP(B10,'ET 시간 배정'!$B:$F,2,FALSE)&amp;")","")</f>
        <v/>
      </c>
      <c r="C11" s="106" t="str">
        <f>IFERROR(VLOOKUP(C10,'ET 시간 배정'!$B:$F,3,FALSE)&amp;"("&amp;VLOOKUP(C10,'ET 시간 배정'!$B:$F,2,FALSE)&amp;")","")</f>
        <v>김민주(8)</v>
      </c>
      <c r="D11" s="106" t="str">
        <f>IFERROR(VLOOKUP(D10,'ET 시간 배정'!$B:$F,3,FALSE)&amp;"("&amp;VLOOKUP(D10,'ET 시간 배정'!$B:$F,2,FALSE)&amp;")","")</f>
        <v/>
      </c>
      <c r="E11" s="106" t="str">
        <f>IFERROR(VLOOKUP(E10,'ET 시간 배정'!$B:$F,3,FALSE)&amp;"("&amp;VLOOKUP(E10,'ET 시간 배정'!$B:$F,2,FALSE)&amp;")","")</f>
        <v>김려원(8)</v>
      </c>
      <c r="F11" s="106" t="str">
        <f>IFERROR(VLOOKUP(F10,'ET 시간 배정'!$B:$F,3,FALSE)&amp;"("&amp;VLOOKUP(F10,'ET 시간 배정'!$B:$F,2,FALSE)&amp;")","")</f>
        <v/>
      </c>
      <c r="G11" s="105"/>
      <c r="H11" s="106" t="str">
        <f>IFERROR(VLOOKUP(H10,'ET 시간 배정'!$B:$F,3,FALSE)&amp;"("&amp;VLOOKUP(H10,'ET 시간 배정'!$B:$F,2,FALSE)&amp;")","")</f>
        <v>김도연(8)</v>
      </c>
      <c r="I11" s="106" t="str">
        <f>IFERROR(VLOOKUP(I10,'ET 시간 배정'!$B:$F,3,FALSE)&amp;"("&amp;VLOOKUP(I10,'ET 시간 배정'!$B:$F,2,FALSE)&amp;")","")</f>
        <v/>
      </c>
      <c r="J11" s="106" t="str">
        <f>IFERROR(VLOOKUP(J10,'ET 시간 배정'!$B:$F,3,FALSE)&amp;"("&amp;VLOOKUP(J10,'ET 시간 배정'!$B:$F,2,FALSE)&amp;")","")</f>
        <v>홍찬미(1)</v>
      </c>
      <c r="K11" s="106" t="str">
        <f>IFERROR(VLOOKUP(K10,'ET 시간 배정'!$B:$F,3,FALSE)&amp;"("&amp;VLOOKUP(K10,'ET 시간 배정'!$B:$F,2,FALSE)&amp;")","")</f>
        <v/>
      </c>
      <c r="L11" s="106" t="str">
        <f>IFERROR(VLOOKUP(L10,'ET 시간 배정'!$B:$F,3,FALSE)&amp;"("&amp;VLOOKUP(L10,'ET 시간 배정'!$B:$F,2,FALSE)&amp;")","")</f>
        <v>하지민(1)</v>
      </c>
      <c r="M11" s="107"/>
      <c r="N11" s="106" t="str">
        <f>IFERROR(VLOOKUP(N10,'ET 시간 배정'!$B:$F,3,FALSE)&amp;"("&amp;VLOOKUP(N10,'ET 시간 배정'!$B:$F,2,FALSE)&amp;")","")</f>
        <v/>
      </c>
      <c r="O11" s="106" t="str">
        <f>IFERROR(VLOOKUP(O10,'ET 시간 배정'!$B:$F,3,FALSE)&amp;"("&amp;VLOOKUP(O10,'ET 시간 배정'!$B:$F,2,FALSE)&amp;")","")</f>
        <v>차연우(1)</v>
      </c>
      <c r="P11" s="106" t="str">
        <f>IFERROR(VLOOKUP(P10,'ET 시간 배정'!$B:$F,3,FALSE)&amp;"("&amp;VLOOKUP(P10,'ET 시간 배정'!$B:$F,2,FALSE)&amp;")","")</f>
        <v/>
      </c>
      <c r="Q11" s="106" t="str">
        <f>IFERROR(VLOOKUP(Q10,'ET 시간 배정'!$B:$F,3,FALSE)&amp;"("&amp;VLOOKUP(Q10,'ET 시간 배정'!$B:$F,2,FALSE)&amp;")","")</f>
        <v>우정원(1)</v>
      </c>
      <c r="R11" s="106" t="str">
        <f>IFERROR(VLOOKUP(R10,'ET 시간 배정'!$B:$F,3,FALSE)&amp;"("&amp;VLOOKUP(R10,'ET 시간 배정'!$B:$F,2,FALSE)&amp;")","")</f>
        <v/>
      </c>
      <c r="S11" s="106" t="str">
        <f>IFERROR(VLOOKUP(S10,'ET 시간 배정'!$B:$F,3,FALSE)&amp;"("&amp;VLOOKUP(S10,'ET 시간 배정'!$B:$F,2,FALSE)&amp;")","")</f>
        <v>심은서(1)</v>
      </c>
      <c r="T11" s="106" t="str">
        <f>IFERROR(VLOOKUP(T10,'ET 시간 배정'!$B:$F,3,FALSE)&amp;"("&amp;VLOOKUP(T10,'ET 시간 배정'!$B:$F,2,FALSE)&amp;")","")</f>
        <v/>
      </c>
      <c r="U11" s="552"/>
      <c r="V11" s="106" t="str">
        <f>IFERROR(VLOOKUP(V10,'ET 시간 배정'!$B:$F,3,FALSE)&amp;"("&amp;VLOOKUP(V10,'ET 시간 배정'!$B:$F,2,FALSE)&amp;")","")</f>
        <v/>
      </c>
      <c r="W11" s="106" t="str">
        <f>IFERROR(VLOOKUP(W10,'ET 시간 배정'!$B:$F,3,FALSE)&amp;"("&amp;VLOOKUP(W10,'ET 시간 배정'!$B:$F,2,FALSE)&amp;")","")</f>
        <v>강태민(8)</v>
      </c>
      <c r="X11" s="106" t="str">
        <f>IFERROR(VLOOKUP(X10,'ET 시간 배정'!$B:$F,3,FALSE)&amp;"("&amp;VLOOKUP(X10,'ET 시간 배정'!$B:$F,2,FALSE)&amp;")","")</f>
        <v/>
      </c>
      <c r="Y11" s="105"/>
      <c r="Z11" s="106" t="str">
        <f>IFERROR(VLOOKUP(Z10,'ET 시간 배정'!$B:$F,3,FALSE)&amp;"("&amp;VLOOKUP(Z10,'ET 시간 배정'!$B:$F,2,FALSE)&amp;")","")</f>
        <v>황동균(1)</v>
      </c>
      <c r="AA11" s="106" t="str">
        <f>IFERROR(VLOOKUP(AA10,'ET 시간 배정'!$B:$F,3,FALSE)&amp;"("&amp;VLOOKUP(AA10,'ET 시간 배정'!$B:$F,2,FALSE)&amp;")","")</f>
        <v/>
      </c>
      <c r="AB11" s="106" t="str">
        <f>IFERROR(VLOOKUP(AB10,'ET 시간 배정'!$B:$F,3,FALSE)&amp;"("&amp;VLOOKUP(AB10,'ET 시간 배정'!$B:$F,2,FALSE)&amp;")","")</f>
        <v>이호찬(1)</v>
      </c>
      <c r="AC11" s="106" t="str">
        <f>IFERROR(VLOOKUP(AC10,'ET 시간 배정'!$B:$F,3,FALSE)&amp;"("&amp;VLOOKUP(AC10,'ET 시간 배정'!$B:$F,2,FALSE)&amp;")","")</f>
        <v/>
      </c>
      <c r="AD11" s="106" t="str">
        <f>IFERROR(VLOOKUP(AD10,'ET 시간 배정'!$B:$F,3,FALSE)&amp;"("&amp;VLOOKUP(AD10,'ET 시간 배정'!$B:$F,2,FALSE)&amp;")","")</f>
        <v>이성한(1)</v>
      </c>
    </row>
    <row r="12" spans="2:30" ht="18" customHeight="1" x14ac:dyDescent="0.3">
      <c r="B12" s="101" t="s">
        <v>518</v>
      </c>
      <c r="C12" s="101" t="s">
        <v>519</v>
      </c>
      <c r="D12" s="101" t="s">
        <v>521</v>
      </c>
      <c r="E12" s="101" t="s">
        <v>522</v>
      </c>
      <c r="F12" s="101" t="s">
        <v>524</v>
      </c>
      <c r="G12" s="105"/>
      <c r="H12" s="101" t="s">
        <v>545</v>
      </c>
      <c r="I12" s="101" t="s">
        <v>544</v>
      </c>
      <c r="J12" s="101" t="s">
        <v>542</v>
      </c>
      <c r="K12" s="101" t="s">
        <v>541</v>
      </c>
      <c r="L12" s="101" t="s">
        <v>539</v>
      </c>
      <c r="M12" s="107"/>
      <c r="N12" s="101" t="s">
        <v>593</v>
      </c>
      <c r="O12" s="101" t="s">
        <v>594</v>
      </c>
      <c r="P12" s="101" t="s">
        <v>611</v>
      </c>
      <c r="Q12" s="101" t="s">
        <v>609</v>
      </c>
      <c r="R12" s="101" t="s">
        <v>608</v>
      </c>
      <c r="S12" s="101" t="s">
        <v>606</v>
      </c>
      <c r="T12" s="101" t="s">
        <v>605</v>
      </c>
      <c r="U12" s="552"/>
      <c r="V12" s="104" t="s">
        <v>615</v>
      </c>
      <c r="W12" s="104" t="s">
        <v>629</v>
      </c>
      <c r="X12" s="104" t="s">
        <v>631</v>
      </c>
      <c r="Y12" s="105"/>
      <c r="Z12" s="104" t="s">
        <v>645</v>
      </c>
      <c r="AA12" s="104" t="s">
        <v>656</v>
      </c>
      <c r="AB12" s="104" t="s">
        <v>654</v>
      </c>
      <c r="AC12" s="104" t="s">
        <v>653</v>
      </c>
      <c r="AD12" s="104" t="s">
        <v>651</v>
      </c>
    </row>
    <row r="13" spans="2:30" ht="18" customHeight="1" thickBot="1" x14ac:dyDescent="0.35">
      <c r="B13" s="106" t="str">
        <f>IFERROR(VLOOKUP(B12,'ET 시간 배정'!$B:$F,3,FALSE)&amp;"("&amp;VLOOKUP(B12,'ET 시간 배정'!$B:$F,2,FALSE)&amp;")","")</f>
        <v>송윤아(1)</v>
      </c>
      <c r="C13" s="106" t="str">
        <f>IFERROR(VLOOKUP(C12,'ET 시간 배정'!$B:$F,3,FALSE)&amp;"("&amp;VLOOKUP(C12,'ET 시간 배정'!$B:$F,2,FALSE)&amp;")","")</f>
        <v/>
      </c>
      <c r="D13" s="106" t="str">
        <f>IFERROR(VLOOKUP(D12,'ET 시간 배정'!$B:$F,3,FALSE)&amp;"("&amp;VLOOKUP(D12,'ET 시간 배정'!$B:$F,2,FALSE)&amp;")","")</f>
        <v>송윤빈(1)</v>
      </c>
      <c r="E13" s="106" t="str">
        <f>IFERROR(VLOOKUP(E12,'ET 시간 배정'!$B:$F,3,FALSE)&amp;"("&amp;VLOOKUP(E12,'ET 시간 배정'!$B:$F,2,FALSE)&amp;")","")</f>
        <v/>
      </c>
      <c r="F13" s="106" t="str">
        <f>IFERROR(VLOOKUP(F12,'ET 시간 배정'!$B:$F,3,FALSE)&amp;"("&amp;VLOOKUP(F12,'ET 시간 배정'!$B:$F,2,FALSE)&amp;")","")</f>
        <v>성혜린(1)</v>
      </c>
      <c r="G13" s="105"/>
      <c r="H13" s="106" t="str">
        <f>IFERROR(VLOOKUP(H12,'ET 시간 배정'!$B:$F,3,FALSE)&amp;"("&amp;VLOOKUP(H12,'ET 시간 배정'!$B:$F,2,FALSE)&amp;")","")</f>
        <v/>
      </c>
      <c r="I13" s="106" t="str">
        <f>IFERROR(VLOOKUP(I12,'ET 시간 배정'!$B:$F,3,FALSE)&amp;"("&amp;VLOOKUP(I12,'ET 시간 배정'!$B:$F,2,FALSE)&amp;")","")</f>
        <v>석정인(1)</v>
      </c>
      <c r="J13" s="106" t="str">
        <f>IFERROR(VLOOKUP(J12,'ET 시간 배정'!$B:$F,3,FALSE)&amp;"("&amp;VLOOKUP(J12,'ET 시간 배정'!$B:$F,2,FALSE)&amp;")","")</f>
        <v/>
      </c>
      <c r="K13" s="106" t="str">
        <f>IFERROR(VLOOKUP(K12,'ET 시간 배정'!$B:$F,3,FALSE)&amp;"("&amp;VLOOKUP(K12,'ET 시간 배정'!$B:$F,2,FALSE)&amp;")","")</f>
        <v>박유빈(1)</v>
      </c>
      <c r="L13" s="106" t="str">
        <f>IFERROR(VLOOKUP(L12,'ET 시간 배정'!$B:$F,3,FALSE)&amp;"("&amp;VLOOKUP(L12,'ET 시간 배정'!$B:$F,2,FALSE)&amp;")","")</f>
        <v/>
      </c>
      <c r="M13" s="107"/>
      <c r="N13" s="106" t="str">
        <f>IFERROR(VLOOKUP(N12,'ET 시간 배정'!$B:$F,3,FALSE)&amp;"("&amp;VLOOKUP(N12,'ET 시간 배정'!$B:$F,2,FALSE)&amp;")","")</f>
        <v>박선미(1)</v>
      </c>
      <c r="O13" s="106" t="str">
        <f>IFERROR(VLOOKUP(O12,'ET 시간 배정'!$B:$F,3,FALSE)&amp;"("&amp;VLOOKUP(O12,'ET 시간 배정'!$B:$F,2,FALSE)&amp;")","")</f>
        <v/>
      </c>
      <c r="P13" s="106" t="str">
        <f>IFERROR(VLOOKUP(P12,'ET 시간 배정'!$B:$F,3,FALSE)&amp;"("&amp;VLOOKUP(P12,'ET 시간 배정'!$B:$F,2,FALSE)&amp;")","")</f>
        <v>문시연(1)</v>
      </c>
      <c r="Q13" s="106" t="str">
        <f>IFERROR(VLOOKUP(Q12,'ET 시간 배정'!$B:$F,3,FALSE)&amp;"("&amp;VLOOKUP(Q12,'ET 시간 배정'!$B:$F,2,FALSE)&amp;")","")</f>
        <v/>
      </c>
      <c r="R13" s="106" t="str">
        <f>IFERROR(VLOOKUP(R12,'ET 시간 배정'!$B:$F,3,FALSE)&amp;"("&amp;VLOOKUP(R12,'ET 시간 배정'!$B:$F,2,FALSE)&amp;")","")</f>
        <v>남시윤(1)</v>
      </c>
      <c r="S13" s="106" t="str">
        <f>IFERROR(VLOOKUP(S12,'ET 시간 배정'!$B:$F,3,FALSE)&amp;"("&amp;VLOOKUP(S12,'ET 시간 배정'!$B:$F,2,FALSE)&amp;")","")</f>
        <v/>
      </c>
      <c r="T13" s="106" t="str">
        <f>IFERROR(VLOOKUP(T12,'ET 시간 배정'!$B:$F,3,FALSE)&amp;"("&amp;VLOOKUP(T12,'ET 시간 배정'!$B:$F,2,FALSE)&amp;")","")</f>
        <v>김지은(1)</v>
      </c>
      <c r="U13" s="552"/>
      <c r="V13" s="106" t="str">
        <f>IFERROR(VLOOKUP(V12,'ET 시간 배정'!$B:$F,3,FALSE)&amp;"("&amp;VLOOKUP(V12,'ET 시간 배정'!$B:$F,2,FALSE)&amp;")","")</f>
        <v>이민호(1)</v>
      </c>
      <c r="W13" s="106" t="str">
        <f>IFERROR(VLOOKUP(W12,'ET 시간 배정'!$B:$F,3,FALSE)&amp;"("&amp;VLOOKUP(W12,'ET 시간 배정'!$B:$F,2,FALSE)&amp;")","")</f>
        <v/>
      </c>
      <c r="X13" s="106" t="str">
        <f>IFERROR(VLOOKUP(X12,'ET 시간 배정'!$B:$F,3,FALSE)&amp;"("&amp;VLOOKUP(X12,'ET 시간 배정'!$B:$F,2,FALSE)&amp;")","")</f>
        <v>신정우(1)</v>
      </c>
      <c r="Y13" s="105"/>
      <c r="Z13" s="106" t="str">
        <f>IFERROR(VLOOKUP(Z12,'ET 시간 배정'!$B:$F,3,FALSE)&amp;"("&amp;VLOOKUP(Z12,'ET 시간 배정'!$B:$F,2,FALSE)&amp;")","")</f>
        <v/>
      </c>
      <c r="AA13" s="106" t="str">
        <f>IFERROR(VLOOKUP(AA12,'ET 시간 배정'!$B:$F,3,FALSE)&amp;"("&amp;VLOOKUP(AA12,'ET 시간 배정'!$B:$F,2,FALSE)&amp;")","")</f>
        <v>남정호(1)</v>
      </c>
      <c r="AB13" s="106" t="str">
        <f>IFERROR(VLOOKUP(AB12,'ET 시간 배정'!$B:$F,3,FALSE)&amp;"("&amp;VLOOKUP(AB12,'ET 시간 배정'!$B:$F,2,FALSE)&amp;")","")</f>
        <v/>
      </c>
      <c r="AC13" s="106" t="str">
        <f>IFERROR(VLOOKUP(AC12,'ET 시간 배정'!$B:$F,3,FALSE)&amp;"("&amp;VLOOKUP(AC12,'ET 시간 배정'!$B:$F,2,FALSE)&amp;")","")</f>
        <v>김지섭(1)</v>
      </c>
      <c r="AD13" s="106" t="str">
        <f>IFERROR(VLOOKUP(AD12,'ET 시간 배정'!$B:$F,3,FALSE)&amp;"("&amp;VLOOKUP(AD12,'ET 시간 배정'!$B:$F,2,FALSE)&amp;")","")</f>
        <v/>
      </c>
    </row>
    <row r="14" spans="2:30" ht="18" customHeight="1" thickBot="1" x14ac:dyDescent="0.35">
      <c r="B14" s="95"/>
      <c r="C14" s="96"/>
      <c r="D14" s="96"/>
      <c r="E14" s="96"/>
      <c r="F14" s="96"/>
      <c r="G14" s="105"/>
      <c r="H14" s="96"/>
      <c r="I14" s="96"/>
      <c r="J14" s="96"/>
      <c r="K14" s="96"/>
      <c r="L14" s="96"/>
      <c r="M14" s="108"/>
      <c r="N14" s="98"/>
      <c r="O14" s="98"/>
      <c r="P14" s="98"/>
      <c r="Q14" s="98"/>
      <c r="R14" s="98"/>
      <c r="S14" s="112"/>
      <c r="T14" s="98"/>
      <c r="U14" s="552"/>
      <c r="V14" s="110"/>
      <c r="W14" s="110"/>
      <c r="X14" s="110"/>
      <c r="Y14" s="105"/>
      <c r="Z14" s="110"/>
      <c r="AA14" s="110"/>
      <c r="AB14" s="110"/>
      <c r="AC14" s="110"/>
      <c r="AD14" s="111"/>
    </row>
    <row r="15" spans="2:30" ht="18" customHeight="1" x14ac:dyDescent="0.3">
      <c r="B15" s="101" t="s">
        <v>527</v>
      </c>
      <c r="C15" s="101" t="s">
        <v>529</v>
      </c>
      <c r="D15" s="101" t="s">
        <v>530</v>
      </c>
      <c r="E15" s="101" t="s">
        <v>532</v>
      </c>
      <c r="F15" s="101" t="s">
        <v>533</v>
      </c>
      <c r="G15" s="105"/>
      <c r="H15" s="105"/>
      <c r="I15" s="101" t="s">
        <v>535</v>
      </c>
      <c r="J15" s="101" t="s">
        <v>536</v>
      </c>
      <c r="K15" s="101" t="s">
        <v>537</v>
      </c>
      <c r="L15" s="101" t="s">
        <v>538</v>
      </c>
      <c r="M15" s="113"/>
      <c r="N15" s="102"/>
      <c r="O15" s="102"/>
      <c r="P15" s="102"/>
      <c r="Q15" s="102"/>
      <c r="R15" s="102"/>
      <c r="S15" s="101" t="s">
        <v>612</v>
      </c>
      <c r="T15" s="101" t="s">
        <v>613</v>
      </c>
      <c r="U15" s="552"/>
      <c r="V15" s="114"/>
      <c r="W15" s="114"/>
      <c r="X15" s="115"/>
      <c r="Y15" s="115"/>
      <c r="Z15" s="115"/>
      <c r="AA15" s="115"/>
      <c r="AB15" s="104" t="s">
        <v>657</v>
      </c>
      <c r="AC15" s="104" t="s">
        <v>658</v>
      </c>
      <c r="AD15" s="104" t="s">
        <v>659</v>
      </c>
    </row>
    <row r="16" spans="2:30" ht="18" customHeight="1" thickBot="1" x14ac:dyDescent="0.35">
      <c r="B16" s="106" t="str">
        <f>IFERROR(VLOOKUP(B15,'ET 시간 배정'!$B:$F,3,FALSE)&amp;"("&amp;VLOOKUP(B15,'ET 시간 배정'!$B:$F,2,FALSE)&amp;")","")</f>
        <v/>
      </c>
      <c r="C16" s="106" t="str">
        <f>IFERROR(VLOOKUP(C15,'ET 시간 배정'!$B:$F,3,FALSE)&amp;"("&amp;VLOOKUP(C15,'ET 시간 배정'!$B:$F,2,FALSE)&amp;")","")</f>
        <v>김나은(1)</v>
      </c>
      <c r="D16" s="106" t="str">
        <f>IFERROR(VLOOKUP(D15,'ET 시간 배정'!$B:$F,3,FALSE)&amp;"("&amp;VLOOKUP(D15,'ET 시간 배정'!$B:$F,2,FALSE)&amp;")","")</f>
        <v/>
      </c>
      <c r="E16" s="106" t="str">
        <f>IFERROR(VLOOKUP(E15,'ET 시간 배정'!$B:$F,3,FALSE)&amp;"("&amp;VLOOKUP(E15,'ET 시간 배정'!$B:$F,2,FALSE)&amp;")","")</f>
        <v>김가현(1)</v>
      </c>
      <c r="F16" s="106" t="str">
        <f>IFERROR(VLOOKUP(F15,'ET 시간 배정'!$B:$F,3,FALSE)&amp;"("&amp;VLOOKUP(F15,'ET 시간 배정'!$B:$F,2,FALSE)&amp;")","")</f>
        <v/>
      </c>
      <c r="G16" s="105"/>
      <c r="H16" s="105"/>
      <c r="I16" s="106" t="str">
        <f>IFERROR(VLOOKUP(I15,'ET 시간 배정'!$B:$F,3,FALSE)&amp;"("&amp;VLOOKUP(I15,'ET 시간 배정'!$B:$F,2,FALSE)&amp;")","")</f>
        <v>강다은(1)</v>
      </c>
      <c r="J16" s="106" t="str">
        <f>IFERROR(VLOOKUP(J15,'ET 시간 배정'!$B:$F,3,FALSE)&amp;"("&amp;VLOOKUP(J15,'ET 시간 배정'!$B:$F,2,FALSE)&amp;")","")</f>
        <v/>
      </c>
      <c r="K16" s="106" t="str">
        <f>IFERROR(VLOOKUP(K15,'ET 시간 배정'!$B:$F,3,FALSE)&amp;"("&amp;VLOOKUP(K15,'ET 시간 배정'!$B:$F,2,FALSE)&amp;")","")</f>
        <v>강다연(1)</v>
      </c>
      <c r="L16" s="106" t="str">
        <f>IFERROR(VLOOKUP(L15,'ET 시간 배정'!$B:$F,3,FALSE)&amp;"("&amp;VLOOKUP(L15,'ET 시간 배정'!$B:$F,2,FALSE)&amp;")","")</f>
        <v/>
      </c>
      <c r="M16" s="116"/>
      <c r="N16" s="98"/>
      <c r="O16" s="98"/>
      <c r="P16" s="98"/>
      <c r="Q16" s="98"/>
      <c r="R16" s="98"/>
      <c r="S16" s="106" t="str">
        <f>IFERROR(VLOOKUP(S15,'ET 시간 배정'!$B:$F,3,FALSE)&amp;"("&amp;VLOOKUP(S15,'ET 시간 배정'!$B:$F,2,FALSE)&amp;")","")</f>
        <v>강고은(1)</v>
      </c>
      <c r="T16" s="106" t="str">
        <f>IFERROR(VLOOKUP(T15,'ET 시간 배정'!$B:$F,3,FALSE)&amp;"("&amp;VLOOKUP(T15,'ET 시간 배정'!$B:$F,2,FALSE)&amp;")","")</f>
        <v/>
      </c>
      <c r="U16" s="552"/>
      <c r="V16" s="117"/>
      <c r="W16" s="117"/>
      <c r="X16" s="115"/>
      <c r="Y16" s="115"/>
      <c r="Z16" s="117"/>
      <c r="AA16" s="117"/>
      <c r="AB16" s="106" t="str">
        <f>IFERROR(VLOOKUP(AB15,'ET 시간 배정'!$B:$F,3,FALSE)&amp;"("&amp;VLOOKUP(AB15,'ET 시간 배정'!$B:$F,2,FALSE)&amp;")","")</f>
        <v>김선우(1)</v>
      </c>
      <c r="AC16" s="106" t="str">
        <f>IFERROR(VLOOKUP(AC15,'ET 시간 배정'!$B:$F,3,FALSE)&amp;"("&amp;VLOOKUP(AC15,'ET 시간 배정'!$B:$F,2,FALSE)&amp;")","")</f>
        <v/>
      </c>
      <c r="AD16" s="106" t="str">
        <f>IFERROR(VLOOKUP(AD15,'ET 시간 배정'!$B:$F,3,FALSE)&amp;"("&amp;VLOOKUP(AD15,'ET 시간 배정'!$B:$F,2,FALSE)&amp;")","")</f>
        <v>김대연(1)</v>
      </c>
    </row>
    <row r="17" spans="2:30" ht="18" customHeight="1" thickBot="1" x14ac:dyDescent="0.35">
      <c r="B17" s="118"/>
      <c r="C17" s="119"/>
      <c r="D17" s="119"/>
      <c r="E17" s="119"/>
      <c r="F17" s="119"/>
      <c r="G17" s="105"/>
      <c r="H17" s="105"/>
      <c r="I17" s="119"/>
      <c r="J17" s="119"/>
      <c r="K17" s="119"/>
      <c r="L17" s="119"/>
      <c r="M17" s="96"/>
      <c r="N17" s="98"/>
      <c r="O17" s="98"/>
      <c r="P17" s="98"/>
      <c r="Q17" s="98"/>
      <c r="R17" s="98"/>
      <c r="S17" s="120"/>
      <c r="T17" s="119"/>
      <c r="U17" s="553"/>
      <c r="V17" s="117"/>
      <c r="W17" s="117"/>
      <c r="X17" s="117"/>
      <c r="Y17" s="110"/>
      <c r="Z17" s="110"/>
      <c r="AA17" s="110"/>
      <c r="AB17" s="110"/>
      <c r="AC17" s="110"/>
      <c r="AD17" s="111"/>
    </row>
    <row r="18" spans="2:30" ht="18" customHeight="1" thickBot="1" x14ac:dyDescent="0.35">
      <c r="B18" s="121"/>
      <c r="C18" s="122"/>
      <c r="D18" s="122"/>
      <c r="E18" s="554"/>
      <c r="F18" s="554"/>
      <c r="G18" s="554"/>
      <c r="H18" s="554"/>
      <c r="I18" s="554"/>
      <c r="J18" s="122"/>
      <c r="K18" s="122"/>
      <c r="L18" s="122"/>
      <c r="M18" s="122"/>
      <c r="N18" s="123"/>
      <c r="O18" s="548" t="s">
        <v>264</v>
      </c>
      <c r="P18" s="549"/>
      <c r="Q18" s="123"/>
      <c r="R18" s="123"/>
      <c r="S18" s="124"/>
      <c r="T18" s="123"/>
      <c r="U18" s="123"/>
      <c r="V18" s="123"/>
      <c r="W18" s="123"/>
      <c r="X18" s="123"/>
      <c r="Y18" s="123"/>
      <c r="Z18" s="548" t="s">
        <v>264</v>
      </c>
      <c r="AA18" s="549"/>
      <c r="AB18" s="123"/>
      <c r="AC18" s="123"/>
      <c r="AD18" s="125"/>
    </row>
    <row r="19" spans="2:30" ht="18" customHeight="1" thickBot="1" x14ac:dyDescent="0.35">
      <c r="B19" s="126" t="s">
        <v>265</v>
      </c>
      <c r="C19" s="126" t="s">
        <v>266</v>
      </c>
      <c r="D19" s="126" t="s">
        <v>267</v>
      </c>
      <c r="E19" s="126" t="s">
        <v>268</v>
      </c>
      <c r="F19" s="126" t="s">
        <v>269</v>
      </c>
      <c r="G19" s="105"/>
      <c r="H19" s="126" t="s">
        <v>270</v>
      </c>
      <c r="I19" s="126" t="s">
        <v>271</v>
      </c>
      <c r="J19" s="126" t="s">
        <v>272</v>
      </c>
      <c r="K19" s="126" t="s">
        <v>273</v>
      </c>
      <c r="L19" s="126" t="s">
        <v>274</v>
      </c>
      <c r="M19" s="126" t="s">
        <v>275</v>
      </c>
      <c r="N19" s="102"/>
      <c r="O19" s="548" t="s">
        <v>264</v>
      </c>
      <c r="P19" s="549"/>
      <c r="Q19" s="127"/>
      <c r="R19" s="127"/>
      <c r="S19" s="154"/>
      <c r="T19" s="155"/>
      <c r="U19" s="155"/>
      <c r="V19" s="155"/>
      <c r="W19" s="155"/>
      <c r="X19" s="155"/>
      <c r="Y19" s="155"/>
      <c r="Z19" s="548" t="s">
        <v>264</v>
      </c>
      <c r="AA19" s="549"/>
      <c r="AB19" s="155"/>
      <c r="AC19" s="155"/>
      <c r="AD19" s="156"/>
    </row>
    <row r="20" spans="2:30" ht="18" customHeight="1" thickBot="1" x14ac:dyDescent="0.35">
      <c r="B20" s="106" t="str">
        <f>IFERROR(VLOOKUP(B19,'ET 시간 배정'!$B:$F,3,FALSE)&amp;"("&amp;VLOOKUP(B19,'ET 시간 배정'!$B:$F,2,FALSE)&amp;")","")</f>
        <v>()</v>
      </c>
      <c r="C20" s="106" t="str">
        <f>IFERROR(VLOOKUP(C19,'ET 시간 배정'!$B:$F,3,FALSE)&amp;"("&amp;VLOOKUP(C19,'ET 시간 배정'!$B:$F,2,FALSE)&amp;")","")</f>
        <v/>
      </c>
      <c r="D20" s="106" t="str">
        <f>IFERROR(VLOOKUP(D19,'ET 시간 배정'!$B:$F,3,FALSE)&amp;"("&amp;VLOOKUP(D19,'ET 시간 배정'!$B:$F,2,FALSE)&amp;")","")</f>
        <v>()</v>
      </c>
      <c r="E20" s="106" t="str">
        <f>IFERROR(VLOOKUP(E19,'ET 시간 배정'!$B:$F,3,FALSE)&amp;"("&amp;VLOOKUP(E19,'ET 시간 배정'!$B:$F,2,FALSE)&amp;")","")</f>
        <v/>
      </c>
      <c r="F20" s="106" t="str">
        <f>IFERROR(VLOOKUP(F19,'ET 시간 배정'!$B:$F,3,FALSE)&amp;"("&amp;VLOOKUP(F19,'ET 시간 배정'!$B:$F,2,FALSE)&amp;")","")</f>
        <v>황하빈(12)</v>
      </c>
      <c r="G20" s="105"/>
      <c r="H20" s="106" t="str">
        <f>IFERROR(VLOOKUP(H19,'ET 시간 배정'!$B:$F,3,FALSE)&amp;"("&amp;VLOOKUP(H19,'ET 시간 배정'!$B:$F,2,FALSE)&amp;")","")</f>
        <v/>
      </c>
      <c r="I20" s="106" t="str">
        <f>IFERROR(VLOOKUP(I19,'ET 시간 배정'!$B:$F,3,FALSE)&amp;"("&amp;VLOOKUP(I19,'ET 시간 배정'!$B:$F,2,FALSE)&amp;")","")</f>
        <v>조규희(12)</v>
      </c>
      <c r="J20" s="106" t="str">
        <f>IFERROR(VLOOKUP(J19,'ET 시간 배정'!$B:$F,3,FALSE)&amp;"("&amp;VLOOKUP(J19,'ET 시간 배정'!$B:$F,2,FALSE)&amp;")","")</f>
        <v/>
      </c>
      <c r="K20" s="106" t="str">
        <f>IFERROR(VLOOKUP(K19,'ET 시간 배정'!$B:$F,3,FALSE)&amp;"("&amp;VLOOKUP(K19,'ET 시간 배정'!$B:$F,2,FALSE)&amp;")","")</f>
        <v>정수언(12)</v>
      </c>
      <c r="L20" s="106" t="str">
        <f>IFERROR(VLOOKUP(L19,'ET 시간 배정'!$B:$F,3,FALSE)&amp;"("&amp;VLOOKUP(L19,'ET 시간 배정'!$B:$F,2,FALSE)&amp;")","")</f>
        <v/>
      </c>
      <c r="M20" s="106" t="str">
        <f>IFERROR(VLOOKUP(M19,'ET 시간 배정'!$B:$F,3,FALSE)&amp;"("&amp;VLOOKUP(M19,'ET 시간 배정'!$B:$F,2,FALSE)&amp;")","")</f>
        <v>임서진(12)</v>
      </c>
      <c r="N20" s="128"/>
      <c r="O20" s="98"/>
      <c r="P20" s="98"/>
      <c r="Q20" s="128"/>
      <c r="R20" s="128"/>
      <c r="S20" s="14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100"/>
    </row>
    <row r="21" spans="2:30" ht="18" customHeight="1" thickBot="1" x14ac:dyDescent="0.35">
      <c r="B21" s="126" t="s">
        <v>276</v>
      </c>
      <c r="C21" s="126" t="s">
        <v>277</v>
      </c>
      <c r="D21" s="126" t="s">
        <v>278</v>
      </c>
      <c r="E21" s="126" t="s">
        <v>279</v>
      </c>
      <c r="F21" s="126" t="s">
        <v>280</v>
      </c>
      <c r="G21" s="105"/>
      <c r="H21" s="126" t="s">
        <v>281</v>
      </c>
      <c r="I21" s="126" t="s">
        <v>282</v>
      </c>
      <c r="J21" s="126" t="s">
        <v>283</v>
      </c>
      <c r="K21" s="126" t="s">
        <v>284</v>
      </c>
      <c r="L21" s="126" t="s">
        <v>285</v>
      </c>
      <c r="M21" s="126" t="s">
        <v>286</v>
      </c>
      <c r="N21" s="127"/>
      <c r="O21" s="127"/>
      <c r="P21" s="127"/>
      <c r="Q21" s="127"/>
      <c r="R21" s="127"/>
      <c r="S21" s="157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35"/>
    </row>
    <row r="22" spans="2:30" ht="18" customHeight="1" thickBot="1" x14ac:dyDescent="0.35">
      <c r="B22" s="106" t="str">
        <f>IFERROR(VLOOKUP(B21,'ET 시간 배정'!$B:$F,3,FALSE)&amp;"("&amp;VLOOKUP(B21,'ET 시간 배정'!$B:$F,2,FALSE)&amp;")","")</f>
        <v/>
      </c>
      <c r="C22" s="106" t="str">
        <f>IFERROR(VLOOKUP(C21,'ET 시간 배정'!$B:$F,3,FALSE)&amp;"("&amp;VLOOKUP(C21,'ET 시간 배정'!$B:$F,2,FALSE)&amp;")","")</f>
        <v>이도현(12)</v>
      </c>
      <c r="D22" s="106" t="str">
        <f>IFERROR(VLOOKUP(D21,'ET 시간 배정'!$B:$F,3,FALSE)&amp;"("&amp;VLOOKUP(D21,'ET 시간 배정'!$B:$F,2,FALSE)&amp;")","")</f>
        <v/>
      </c>
      <c r="E22" s="106" t="str">
        <f>IFERROR(VLOOKUP(E21,'ET 시간 배정'!$B:$F,3,FALSE)&amp;"("&amp;VLOOKUP(E21,'ET 시간 배정'!$B:$F,2,FALSE)&amp;")","")</f>
        <v>양웅비(12)</v>
      </c>
      <c r="F22" s="106" t="str">
        <f>IFERROR(VLOOKUP(F21,'ET 시간 배정'!$B:$F,3,FALSE)&amp;"("&amp;VLOOKUP(F21,'ET 시간 배정'!$B:$F,2,FALSE)&amp;")","")</f>
        <v/>
      </c>
      <c r="G22" s="105"/>
      <c r="H22" s="106" t="str">
        <f>IFERROR(VLOOKUP(H21,'ET 시간 배정'!$B:$F,3,FALSE)&amp;"("&amp;VLOOKUP(H21,'ET 시간 배정'!$B:$F,2,FALSE)&amp;")","")</f>
        <v>안재현(12)</v>
      </c>
      <c r="I22" s="106" t="str">
        <f>IFERROR(VLOOKUP(I21,'ET 시간 배정'!$B:$F,3,FALSE)&amp;"("&amp;VLOOKUP(I21,'ET 시간 배정'!$B:$F,2,FALSE)&amp;")","")</f>
        <v/>
      </c>
      <c r="J22" s="106" t="str">
        <f>IFERROR(VLOOKUP(J21,'ET 시간 배정'!$B:$F,3,FALSE)&amp;"("&amp;VLOOKUP(J21,'ET 시간 배정'!$B:$F,2,FALSE)&amp;")","")</f>
        <v>박재연(12)</v>
      </c>
      <c r="K22" s="106" t="str">
        <f>IFERROR(VLOOKUP(K21,'ET 시간 배정'!$B:$F,3,FALSE)&amp;"("&amp;VLOOKUP(K21,'ET 시간 배정'!$B:$F,2,FALSE)&amp;")","")</f>
        <v/>
      </c>
      <c r="L22" s="106" t="str">
        <f>IFERROR(VLOOKUP(L21,'ET 시간 배정'!$B:$F,3,FALSE)&amp;"("&amp;VLOOKUP(L21,'ET 시간 배정'!$B:$F,2,FALSE)&amp;")","")</f>
        <v>김연건(12)</v>
      </c>
      <c r="M22" s="106" t="str">
        <f>IFERROR(VLOOKUP(M21,'ET 시간 배정'!$B:$F,3,FALSE)&amp;"("&amp;VLOOKUP(M21,'ET 시간 배정'!$B:$F,2,FALSE)&amp;")","")</f>
        <v/>
      </c>
      <c r="N22" s="128"/>
      <c r="O22" s="128"/>
      <c r="P22" s="128"/>
      <c r="Q22" s="128"/>
      <c r="R22" s="127"/>
      <c r="S22" s="131" t="s">
        <v>298</v>
      </c>
      <c r="T22" s="131" t="s">
        <v>299</v>
      </c>
      <c r="U22" s="131" t="s">
        <v>300</v>
      </c>
      <c r="V22" s="131" t="s">
        <v>301</v>
      </c>
      <c r="W22" s="131" t="s">
        <v>302</v>
      </c>
      <c r="X22" s="131" t="s">
        <v>303</v>
      </c>
      <c r="Y22" s="158"/>
      <c r="Z22" s="131" t="s">
        <v>304</v>
      </c>
      <c r="AA22" s="131" t="s">
        <v>305</v>
      </c>
      <c r="AB22" s="131" t="s">
        <v>306</v>
      </c>
      <c r="AC22" s="131" t="s">
        <v>307</v>
      </c>
      <c r="AD22" s="131" t="s">
        <v>308</v>
      </c>
    </row>
    <row r="23" spans="2:30" ht="18" customHeight="1" thickBot="1" x14ac:dyDescent="0.35">
      <c r="B23" s="129"/>
      <c r="C23" s="130"/>
      <c r="D23" s="130"/>
      <c r="E23" s="130"/>
      <c r="F23" s="130"/>
      <c r="G23" s="105"/>
      <c r="H23" s="130"/>
      <c r="I23" s="130"/>
      <c r="J23" s="130"/>
      <c r="K23" s="130"/>
      <c r="L23" s="130"/>
      <c r="M23" s="100"/>
      <c r="N23" s="128"/>
      <c r="O23" s="128"/>
      <c r="P23" s="128"/>
      <c r="Q23" s="128"/>
      <c r="R23" s="128"/>
      <c r="S23" s="106" t="str">
        <f>IFERROR(VLOOKUP(S22,'ET 시간 배정'!$B:$F,3,FALSE)&amp;"("&amp;VLOOKUP(S22,'ET 시간 배정'!$B:$F,2,FALSE)&amp;")","")</f>
        <v/>
      </c>
      <c r="T23" s="106" t="str">
        <f>IFERROR(VLOOKUP(T22,'ET 시간 배정'!$B:$F,3,FALSE)&amp;"("&amp;VLOOKUP(T22,'ET 시간 배정'!$B:$F,2,FALSE)&amp;")","")</f>
        <v>()</v>
      </c>
      <c r="U23" s="106" t="str">
        <f>IFERROR(VLOOKUP(U22,'ET 시간 배정'!$B:$F,3,FALSE)&amp;"("&amp;VLOOKUP(U22,'ET 시간 배정'!$B:$F,2,FALSE)&amp;")","")</f>
        <v/>
      </c>
      <c r="V23" s="106" t="str">
        <f>IFERROR(VLOOKUP(V22,'ET 시간 배정'!$B:$F,3,FALSE)&amp;"("&amp;VLOOKUP(V22,'ET 시간 배정'!$B:$F,2,FALSE)&amp;")","")</f>
        <v>()</v>
      </c>
      <c r="W23" s="106" t="str">
        <f>IFERROR(VLOOKUP(W22,'ET 시간 배정'!$B:$F,3,FALSE)&amp;"("&amp;VLOOKUP(W22,'ET 시간 배정'!$B:$F,2,FALSE)&amp;")","")</f>
        <v/>
      </c>
      <c r="X23" s="106" t="str">
        <f>IFERROR(VLOOKUP(X22,'ET 시간 배정'!$B:$F,3,FALSE)&amp;"("&amp;VLOOKUP(X22,'ET 시간 배정'!$B:$F,2,FALSE)&amp;")","")</f>
        <v>한현진(10)</v>
      </c>
      <c r="Y23" s="158"/>
      <c r="Z23" s="106" t="str">
        <f>IFERROR(VLOOKUP(Z22,'ET 시간 배정'!$B:$F,3,FALSE)&amp;"("&amp;VLOOKUP(Z22,'ET 시간 배정'!$B:$F,2,FALSE)&amp;")","")</f>
        <v/>
      </c>
      <c r="AA23" s="106" t="str">
        <f>IFERROR(VLOOKUP(AA22,'ET 시간 배정'!$B:$F,3,FALSE)&amp;"("&amp;VLOOKUP(AA22,'ET 시간 배정'!$B:$F,2,FALSE)&amp;")","")</f>
        <v>조윤빈(10)</v>
      </c>
      <c r="AB23" s="106" t="str">
        <f>IFERROR(VLOOKUP(AB22,'ET 시간 배정'!$B:$F,3,FALSE)&amp;"("&amp;VLOOKUP(AB22,'ET 시간 배정'!$B:$F,2,FALSE)&amp;")","")</f>
        <v/>
      </c>
      <c r="AC23" s="106" t="str">
        <f>IFERROR(VLOOKUP(AC22,'ET 시간 배정'!$B:$F,3,FALSE)&amp;"("&amp;VLOOKUP(AC22,'ET 시간 배정'!$B:$F,2,FALSE)&amp;")","")</f>
        <v>임서현(10)</v>
      </c>
      <c r="AD23" s="106" t="str">
        <f>IFERROR(VLOOKUP(AD22,'ET 시간 배정'!$B:$F,3,FALSE)&amp;"("&amp;VLOOKUP(AD22,'ET 시간 배정'!$B:$F,2,FALSE)&amp;")","")</f>
        <v/>
      </c>
    </row>
    <row r="24" spans="2:30" ht="18" customHeight="1" thickBot="1" x14ac:dyDescent="0.35">
      <c r="B24" s="126" t="s">
        <v>287</v>
      </c>
      <c r="C24" s="126" t="s">
        <v>288</v>
      </c>
      <c r="D24" s="126" t="s">
        <v>289</v>
      </c>
      <c r="E24" s="126" t="s">
        <v>290</v>
      </c>
      <c r="F24" s="126" t="s">
        <v>291</v>
      </c>
      <c r="G24" s="105"/>
      <c r="H24" s="126" t="s">
        <v>292</v>
      </c>
      <c r="I24" s="126" t="s">
        <v>293</v>
      </c>
      <c r="J24" s="126" t="s">
        <v>294</v>
      </c>
      <c r="K24" s="126" t="s">
        <v>295</v>
      </c>
      <c r="L24" s="126" t="s">
        <v>296</v>
      </c>
      <c r="M24" s="126" t="s">
        <v>297</v>
      </c>
      <c r="N24" s="127"/>
      <c r="O24" s="127"/>
      <c r="P24" s="127"/>
      <c r="Q24" s="127"/>
      <c r="R24" s="127"/>
      <c r="S24" s="131" t="s">
        <v>311</v>
      </c>
      <c r="T24" s="131" t="s">
        <v>312</v>
      </c>
      <c r="U24" s="131" t="s">
        <v>313</v>
      </c>
      <c r="V24" s="131" t="s">
        <v>314</v>
      </c>
      <c r="W24" s="131" t="s">
        <v>315</v>
      </c>
      <c r="X24" s="131" t="s">
        <v>316</v>
      </c>
      <c r="Y24" s="158"/>
      <c r="Z24" s="131" t="s">
        <v>317</v>
      </c>
      <c r="AA24" s="131" t="s">
        <v>318</v>
      </c>
      <c r="AB24" s="131" t="s">
        <v>319</v>
      </c>
      <c r="AC24" s="131" t="s">
        <v>320</v>
      </c>
      <c r="AD24" s="131" t="s">
        <v>321</v>
      </c>
    </row>
    <row r="25" spans="2:30" ht="18" customHeight="1" thickBot="1" x14ac:dyDescent="0.35">
      <c r="B25" s="106" t="str">
        <f>IFERROR(VLOOKUP(B24,'ET 시간 배정'!$B:$F,3,FALSE)&amp;"("&amp;VLOOKUP(B24,'ET 시간 배정'!$B:$F,2,FALSE)&amp;")","")</f>
        <v>김범수(12)</v>
      </c>
      <c r="C25" s="106" t="str">
        <f>IFERROR(VLOOKUP(C24,'ET 시간 배정'!$B:$F,3,FALSE)&amp;"("&amp;VLOOKUP(C24,'ET 시간 배정'!$B:$F,2,FALSE)&amp;")","")</f>
        <v/>
      </c>
      <c r="D25" s="106" t="str">
        <f>IFERROR(VLOOKUP(D24,'ET 시간 배정'!$B:$F,3,FALSE)&amp;"("&amp;VLOOKUP(D24,'ET 시간 배정'!$B:$F,2,FALSE)&amp;")","")</f>
        <v>고건희(12)</v>
      </c>
      <c r="E25" s="106" t="str">
        <f>IFERROR(VLOOKUP(E24,'ET 시간 배정'!$B:$F,3,FALSE)&amp;"("&amp;VLOOKUP(E24,'ET 시간 배정'!$B:$F,2,FALSE)&amp;")","")</f>
        <v/>
      </c>
      <c r="F25" s="106" t="str">
        <f>IFERROR(VLOOKUP(F24,'ET 시간 배정'!$B:$F,3,FALSE)&amp;"("&amp;VLOOKUP(F24,'ET 시간 배정'!$B:$F,2,FALSE)&amp;")","")</f>
        <v>허준영(11)</v>
      </c>
      <c r="G25" s="105"/>
      <c r="H25" s="106" t="str">
        <f>IFERROR(VLOOKUP(H24,'ET 시간 배정'!$B:$F,3,FALSE)&amp;"("&amp;VLOOKUP(H24,'ET 시간 배정'!$B:$F,2,FALSE)&amp;")","")</f>
        <v/>
      </c>
      <c r="I25" s="106" t="str">
        <f>IFERROR(VLOOKUP(I24,'ET 시간 배정'!$B:$F,3,FALSE)&amp;"("&amp;VLOOKUP(I24,'ET 시간 배정'!$B:$F,2,FALSE)&amp;")","")</f>
        <v>하정우(11)</v>
      </c>
      <c r="J25" s="106" t="str">
        <f>IFERROR(VLOOKUP(J24,'ET 시간 배정'!$B:$F,3,FALSE)&amp;"("&amp;VLOOKUP(J24,'ET 시간 배정'!$B:$F,2,FALSE)&amp;")","")</f>
        <v/>
      </c>
      <c r="K25" s="106" t="str">
        <f>IFERROR(VLOOKUP(K24,'ET 시간 배정'!$B:$F,3,FALSE)&amp;"("&amp;VLOOKUP(K24,'ET 시간 배정'!$B:$F,2,FALSE)&amp;")","")</f>
        <v>최지훈(11)</v>
      </c>
      <c r="L25" s="106" t="str">
        <f>IFERROR(VLOOKUP(L24,'ET 시간 배정'!$B:$F,3,FALSE)&amp;"("&amp;VLOOKUP(L24,'ET 시간 배정'!$B:$F,2,FALSE)&amp;")","")</f>
        <v/>
      </c>
      <c r="M25" s="106" t="str">
        <f>IFERROR(VLOOKUP(M24,'ET 시간 배정'!$B:$F,3,FALSE)&amp;"("&amp;VLOOKUP(M24,'ET 시간 배정'!$B:$F,2,FALSE)&amp;")","")</f>
        <v>임종호(11)</v>
      </c>
      <c r="N25" s="128"/>
      <c r="O25" s="128"/>
      <c r="P25" s="128"/>
      <c r="Q25" s="128"/>
      <c r="R25" s="545" t="s">
        <v>322</v>
      </c>
      <c r="S25" s="106" t="str">
        <f>IFERROR(VLOOKUP(S24,'ET 시간 배정'!$B:$F,3,FALSE)&amp;"("&amp;VLOOKUP(S24,'ET 시간 배정'!$B:$F,2,FALSE)&amp;")","")</f>
        <v>이현진(10)</v>
      </c>
      <c r="T25" s="106" t="str">
        <f>IFERROR(VLOOKUP(T24,'ET 시간 배정'!$B:$F,3,FALSE)&amp;"("&amp;VLOOKUP(T24,'ET 시간 배정'!$B:$F,2,FALSE)&amp;")","")</f>
        <v/>
      </c>
      <c r="U25" s="106" t="str">
        <f>IFERROR(VLOOKUP(U24,'ET 시간 배정'!$B:$F,3,FALSE)&amp;"("&amp;VLOOKUP(U24,'ET 시간 배정'!$B:$F,2,FALSE)&amp;")","")</f>
        <v>이시연(10)</v>
      </c>
      <c r="V25" s="106" t="str">
        <f>IFERROR(VLOOKUP(V24,'ET 시간 배정'!$B:$F,3,FALSE)&amp;"("&amp;VLOOKUP(V24,'ET 시간 배정'!$B:$F,2,FALSE)&amp;")","")</f>
        <v/>
      </c>
      <c r="W25" s="106" t="str">
        <f>IFERROR(VLOOKUP(W24,'ET 시간 배정'!$B:$F,3,FALSE)&amp;"("&amp;VLOOKUP(W24,'ET 시간 배정'!$B:$F,2,FALSE)&amp;")","")</f>
        <v>이수빈(10)</v>
      </c>
      <c r="X25" s="106" t="str">
        <f>IFERROR(VLOOKUP(X24,'ET 시간 배정'!$B:$F,3,FALSE)&amp;"("&amp;VLOOKUP(X24,'ET 시간 배정'!$B:$F,2,FALSE)&amp;")","")</f>
        <v/>
      </c>
      <c r="Y25" s="158"/>
      <c r="Z25" s="106" t="str">
        <f>IFERROR(VLOOKUP(Z24,'ET 시간 배정'!$B:$F,3,FALSE)&amp;"("&amp;VLOOKUP(Z24,'ET 시간 배정'!$B:$F,2,FALSE)&amp;")","")</f>
        <v>홍윤형(12)</v>
      </c>
      <c r="AA25" s="106" t="str">
        <f>IFERROR(VLOOKUP(AA24,'ET 시간 배정'!$B:$F,3,FALSE)&amp;"("&amp;VLOOKUP(AA24,'ET 시간 배정'!$B:$F,2,FALSE)&amp;")","")</f>
        <v/>
      </c>
      <c r="AB25" s="106" t="str">
        <f>IFERROR(VLOOKUP(AB24,'ET 시간 배정'!$B:$F,3,FALSE)&amp;"("&amp;VLOOKUP(AB24,'ET 시간 배정'!$B:$F,2,FALSE)&amp;")","")</f>
        <v>최재경(12)</v>
      </c>
      <c r="AC25" s="106" t="str">
        <f>IFERROR(VLOOKUP(AC24,'ET 시간 배정'!$B:$F,3,FALSE)&amp;"("&amp;VLOOKUP(AC24,'ET 시간 배정'!$B:$F,2,FALSE)&amp;")","")</f>
        <v/>
      </c>
      <c r="AD25" s="106" t="str">
        <f>IFERROR(VLOOKUP(AD24,'ET 시간 배정'!$B:$F,3,FALSE)&amp;"("&amp;VLOOKUP(AD24,'ET 시간 배정'!$B:$F,2,FALSE)&amp;")","")</f>
        <v>최경아(12)</v>
      </c>
    </row>
    <row r="26" spans="2:30" ht="18" customHeight="1" thickBot="1" x14ac:dyDescent="0.35">
      <c r="B26" s="126" t="s">
        <v>309</v>
      </c>
      <c r="C26" s="126" t="s">
        <v>310</v>
      </c>
      <c r="D26" s="126" t="s">
        <v>876</v>
      </c>
      <c r="E26" s="126" t="s">
        <v>877</v>
      </c>
      <c r="F26" s="126" t="s">
        <v>878</v>
      </c>
      <c r="G26" s="105"/>
      <c r="H26" s="126" t="s">
        <v>879</v>
      </c>
      <c r="I26" s="126" t="s">
        <v>880</v>
      </c>
      <c r="J26" s="126" t="s">
        <v>881</v>
      </c>
      <c r="K26" s="126" t="s">
        <v>882</v>
      </c>
      <c r="L26" s="126" t="s">
        <v>883</v>
      </c>
      <c r="M26" s="126" t="s">
        <v>884</v>
      </c>
      <c r="N26" s="127"/>
      <c r="O26" s="127"/>
      <c r="P26" s="127"/>
      <c r="Q26" s="127"/>
      <c r="R26" s="546"/>
      <c r="S26" s="148"/>
      <c r="T26" s="132"/>
      <c r="U26" s="132"/>
      <c r="V26" s="132"/>
      <c r="W26" s="132"/>
      <c r="X26" s="132"/>
      <c r="Y26" s="158"/>
      <c r="Z26" s="132"/>
      <c r="AA26" s="132"/>
      <c r="AB26" s="132"/>
      <c r="AC26" s="132"/>
      <c r="AD26" s="133"/>
    </row>
    <row r="27" spans="2:30" ht="18" customHeight="1" thickBot="1" x14ac:dyDescent="0.35">
      <c r="B27" s="106" t="str">
        <f>IFERROR(VLOOKUP(B26,'ET 시간 배정'!$B:$F,3,FALSE)&amp;"("&amp;VLOOKUP(B26,'ET 시간 배정'!$B:$F,2,FALSE)&amp;")","")</f>
        <v/>
      </c>
      <c r="C27" s="106" t="str">
        <f>IFERROR(VLOOKUP(C26,'ET 시간 배정'!$B:$F,3,FALSE)&amp;"("&amp;VLOOKUP(C26,'ET 시간 배정'!$B:$F,2,FALSE)&amp;")","")</f>
        <v>임수한(11)</v>
      </c>
      <c r="D27" s="106" t="str">
        <f>IFERROR(VLOOKUP(D26,'ET 시간 배정'!$B:$F,3,FALSE)&amp;"("&amp;VLOOKUP(D26,'ET 시간 배정'!$B:$F,2,FALSE)&amp;")","")</f>
        <v/>
      </c>
      <c r="E27" s="106" t="str">
        <f>IFERROR(VLOOKUP(E26,'ET 시간 배정'!$B:$F,3,FALSE)&amp;"("&amp;VLOOKUP(E26,'ET 시간 배정'!$B:$F,2,FALSE)&amp;")","")</f>
        <v>이태웅(11)</v>
      </c>
      <c r="F27" s="106" t="str">
        <f>IFERROR(VLOOKUP(F26,'ET 시간 배정'!$B:$F,3,FALSE)&amp;"("&amp;VLOOKUP(F26,'ET 시간 배정'!$B:$F,2,FALSE)&amp;")","")</f>
        <v/>
      </c>
      <c r="G27" s="105"/>
      <c r="H27" s="106" t="str">
        <f>IFERROR(VLOOKUP(H26,'ET 시간 배정'!$B:$F,3,FALSE)&amp;"("&amp;VLOOKUP(H26,'ET 시간 배정'!$B:$F,2,FALSE)&amp;")","")</f>
        <v>이서원(11)</v>
      </c>
      <c r="I27" s="106" t="str">
        <f>IFERROR(VLOOKUP(I26,'ET 시간 배정'!$B:$F,3,FALSE)&amp;"("&amp;VLOOKUP(I26,'ET 시간 배정'!$B:$F,2,FALSE)&amp;")","")</f>
        <v/>
      </c>
      <c r="J27" s="106" t="str">
        <f>IFERROR(VLOOKUP(J26,'ET 시간 배정'!$B:$F,3,FALSE)&amp;"("&amp;VLOOKUP(J26,'ET 시간 배정'!$B:$F,2,FALSE)&amp;")","")</f>
        <v>윤휘결(11)</v>
      </c>
      <c r="K27" s="106" t="str">
        <f>IFERROR(VLOOKUP(K26,'ET 시간 배정'!$B:$F,3,FALSE)&amp;"("&amp;VLOOKUP(K26,'ET 시간 배정'!$B:$F,2,FALSE)&amp;")","")</f>
        <v/>
      </c>
      <c r="L27" s="106" t="str">
        <f>IFERROR(VLOOKUP(L26,'ET 시간 배정'!$B:$F,3,FALSE)&amp;"("&amp;VLOOKUP(L26,'ET 시간 배정'!$B:$F,2,FALSE)&amp;")","")</f>
        <v>안철민(11)</v>
      </c>
      <c r="M27" s="106" t="str">
        <f>IFERROR(VLOOKUP(M26,'ET 시간 배정'!$B:$F,3,FALSE)&amp;"("&amp;VLOOKUP(M26,'ET 시간 배정'!$B:$F,2,FALSE)&amp;")","")</f>
        <v/>
      </c>
      <c r="N27" s="542" t="s">
        <v>322</v>
      </c>
      <c r="O27" s="127"/>
      <c r="P27" s="127"/>
      <c r="Q27" s="127"/>
      <c r="R27" s="547"/>
      <c r="S27" s="131" t="s">
        <v>323</v>
      </c>
      <c r="T27" s="131" t="s">
        <v>731</v>
      </c>
      <c r="U27" s="131" t="s">
        <v>732</v>
      </c>
      <c r="V27" s="131" t="s">
        <v>734</v>
      </c>
      <c r="W27" s="131" t="s">
        <v>735</v>
      </c>
      <c r="X27" s="131" t="s">
        <v>737</v>
      </c>
      <c r="Y27" s="158"/>
      <c r="Z27" s="131" t="s">
        <v>738</v>
      </c>
      <c r="AA27" s="131" t="s">
        <v>740</v>
      </c>
      <c r="AB27" s="131" t="s">
        <v>741</v>
      </c>
      <c r="AC27" s="131" t="s">
        <v>743</v>
      </c>
      <c r="AD27" s="131" t="s">
        <v>744</v>
      </c>
    </row>
    <row r="28" spans="2:30" ht="18" customHeight="1" thickBot="1" x14ac:dyDescent="0.35">
      <c r="B28" s="95"/>
      <c r="C28" s="96"/>
      <c r="D28" s="96"/>
      <c r="E28" s="96"/>
      <c r="F28" s="96"/>
      <c r="G28" s="105"/>
      <c r="H28" s="96"/>
      <c r="I28" s="96"/>
      <c r="J28" s="96"/>
      <c r="K28" s="96"/>
      <c r="L28" s="96"/>
      <c r="M28" s="96"/>
      <c r="N28" s="543"/>
      <c r="O28" s="102"/>
      <c r="P28" s="127"/>
      <c r="Q28" s="127"/>
      <c r="R28" s="128"/>
      <c r="S28" s="106" t="str">
        <f>IFERROR(VLOOKUP(S27,'ET 시간 배정'!$B:$F,3,FALSE)&amp;"("&amp;VLOOKUP(S27,'ET 시간 배정'!$B:$F,2,FALSE)&amp;")","")</f>
        <v/>
      </c>
      <c r="T28" s="106" t="str">
        <f>IFERROR(VLOOKUP(T27,'ET 시간 배정'!$B:$F,3,FALSE)&amp;"("&amp;VLOOKUP(T27,'ET 시간 배정'!$B:$F,2,FALSE)&amp;")","")</f>
        <v>주여진(12)</v>
      </c>
      <c r="U28" s="106" t="str">
        <f>IFERROR(VLOOKUP(U27,'ET 시간 배정'!$B:$F,3,FALSE)&amp;"("&amp;VLOOKUP(U27,'ET 시간 배정'!$B:$F,2,FALSE)&amp;")","")</f>
        <v/>
      </c>
      <c r="V28" s="106" t="str">
        <f>IFERROR(VLOOKUP(V27,'ET 시간 배정'!$B:$F,3,FALSE)&amp;"("&amp;VLOOKUP(V27,'ET 시간 배정'!$B:$F,2,FALSE)&amp;")","")</f>
        <v>정해린(12)</v>
      </c>
      <c r="W28" s="106" t="str">
        <f>IFERROR(VLOOKUP(W27,'ET 시간 배정'!$B:$F,3,FALSE)&amp;"("&amp;VLOOKUP(W27,'ET 시간 배정'!$B:$F,2,FALSE)&amp;")","")</f>
        <v/>
      </c>
      <c r="X28" s="106" t="str">
        <f>IFERROR(VLOOKUP(X27,'ET 시간 배정'!$B:$F,3,FALSE)&amp;"("&amp;VLOOKUP(X27,'ET 시간 배정'!$B:$F,2,FALSE)&amp;")","")</f>
        <v>정다운(12)</v>
      </c>
      <c r="Y28" s="158"/>
      <c r="Z28" s="106" t="str">
        <f>IFERROR(VLOOKUP(Z27,'ET 시간 배정'!$B:$F,3,FALSE)&amp;"("&amp;VLOOKUP(Z27,'ET 시간 배정'!$B:$F,2,FALSE)&amp;")","")</f>
        <v/>
      </c>
      <c r="AA28" s="106" t="str">
        <f>IFERROR(VLOOKUP(AA27,'ET 시간 배정'!$B:$F,3,FALSE)&amp;"("&amp;VLOOKUP(AA27,'ET 시간 배정'!$B:$F,2,FALSE)&amp;")","")</f>
        <v>장서영(12)</v>
      </c>
      <c r="AB28" s="106" t="str">
        <f>IFERROR(VLOOKUP(AB27,'ET 시간 배정'!$B:$F,3,FALSE)&amp;"("&amp;VLOOKUP(AB27,'ET 시간 배정'!$B:$F,2,FALSE)&amp;")","")</f>
        <v/>
      </c>
      <c r="AC28" s="106" t="str">
        <f>IFERROR(VLOOKUP(AC27,'ET 시간 배정'!$B:$F,3,FALSE)&amp;"("&amp;VLOOKUP(AC27,'ET 시간 배정'!$B:$F,2,FALSE)&amp;")","")</f>
        <v>임서현(12)</v>
      </c>
      <c r="AD28" s="106" t="str">
        <f>IFERROR(VLOOKUP(AD27,'ET 시간 배정'!$B:$F,3,FALSE)&amp;"("&amp;VLOOKUP(AD27,'ET 시간 배정'!$B:$F,2,FALSE)&amp;")","")</f>
        <v/>
      </c>
    </row>
    <row r="29" spans="2:30" ht="18" customHeight="1" thickBot="1" x14ac:dyDescent="0.35">
      <c r="B29" s="126" t="s">
        <v>893</v>
      </c>
      <c r="C29" s="126" t="s">
        <v>894</v>
      </c>
      <c r="D29" s="126" t="s">
        <v>895</v>
      </c>
      <c r="E29" s="126" t="s">
        <v>896</v>
      </c>
      <c r="F29" s="126" t="s">
        <v>897</v>
      </c>
      <c r="G29" s="105"/>
      <c r="H29" s="126" t="s">
        <v>888</v>
      </c>
      <c r="I29" s="126" t="s">
        <v>887</v>
      </c>
      <c r="J29" s="126" t="s">
        <v>886</v>
      </c>
      <c r="K29" s="126" t="s">
        <v>885</v>
      </c>
      <c r="L29" s="134"/>
      <c r="M29" s="102"/>
      <c r="N29" s="544"/>
      <c r="O29" s="102"/>
      <c r="P29" s="102"/>
      <c r="Q29" s="127"/>
      <c r="R29" s="127"/>
      <c r="S29" s="131" t="s">
        <v>758</v>
      </c>
      <c r="T29" s="131" t="s">
        <v>756</v>
      </c>
      <c r="U29" s="131" t="s">
        <v>755</v>
      </c>
      <c r="V29" s="131" t="s">
        <v>753</v>
      </c>
      <c r="W29" s="131" t="s">
        <v>752</v>
      </c>
      <c r="X29" s="131" t="s">
        <v>750</v>
      </c>
      <c r="Y29" s="158"/>
      <c r="Z29" s="131" t="s">
        <v>749</v>
      </c>
      <c r="AA29" s="158"/>
      <c r="AB29" s="158"/>
      <c r="AC29" s="131" t="s">
        <v>747</v>
      </c>
      <c r="AD29" s="131" t="s">
        <v>746</v>
      </c>
    </row>
    <row r="30" spans="2:30" ht="18" customHeight="1" thickBot="1" x14ac:dyDescent="0.35">
      <c r="B30" s="106" t="str">
        <f>IFERROR(VLOOKUP(B29,'ET 시간 배정'!$B:$F,3,FALSE)&amp;"("&amp;VLOOKUP(B29,'ET 시간 배정'!$B:$F,2,FALSE)&amp;")","")</f>
        <v>안관영(11)</v>
      </c>
      <c r="C30" s="106" t="str">
        <f>IFERROR(VLOOKUP(C29,'ET 시간 배정'!$B:$F,3,FALSE)&amp;"("&amp;VLOOKUP(C29,'ET 시간 배정'!$B:$F,2,FALSE)&amp;")","")</f>
        <v/>
      </c>
      <c r="D30" s="106" t="str">
        <f>IFERROR(VLOOKUP(D29,'ET 시간 배정'!$B:$F,3,FALSE)&amp;"("&amp;VLOOKUP(D29,'ET 시간 배정'!$B:$F,2,FALSE)&amp;")","")</f>
        <v>서연준(11)</v>
      </c>
      <c r="E30" s="106" t="str">
        <f>IFERROR(VLOOKUP(E29,'ET 시간 배정'!$B:$F,3,FALSE)&amp;"("&amp;VLOOKUP(E29,'ET 시간 배정'!$B:$F,2,FALSE)&amp;")","")</f>
        <v/>
      </c>
      <c r="F30" s="106" t="str">
        <f>IFERROR(VLOOKUP(F29,'ET 시간 배정'!$B:$F,3,FALSE)&amp;"("&amp;VLOOKUP(F29,'ET 시간 배정'!$B:$F,2,FALSE)&amp;")","")</f>
        <v>변상빈(11)</v>
      </c>
      <c r="G30" s="105"/>
      <c r="H30" s="106" t="str">
        <f>IFERROR(VLOOKUP(H29,'ET 시간 배정'!$B:$F,3,FALSE)&amp;"("&amp;VLOOKUP(H29,'ET 시간 배정'!$B:$F,2,FALSE)&amp;")","")</f>
        <v/>
      </c>
      <c r="I30" s="106" t="str">
        <f>IFERROR(VLOOKUP(I29,'ET 시간 배정'!$B:$F,3,FALSE)&amp;"("&amp;VLOOKUP(I29,'ET 시간 배정'!$B:$F,2,FALSE)&amp;")","")</f>
        <v>김호담(11)</v>
      </c>
      <c r="J30" s="106" t="str">
        <f>IFERROR(VLOOKUP(J29,'ET 시간 배정'!$B:$F,3,FALSE)&amp;"("&amp;VLOOKUP(J29,'ET 시간 배정'!$B:$F,2,FALSE)&amp;")","")</f>
        <v/>
      </c>
      <c r="K30" s="106" t="str">
        <f>IFERROR(VLOOKUP(K29,'ET 시간 배정'!$B:$F,3,FALSE)&amp;"("&amp;VLOOKUP(K29,'ET 시간 배정'!$B:$F,2,FALSE)&amp;")","")</f>
        <v>김현빈(11)</v>
      </c>
      <c r="L30" s="119"/>
      <c r="M30" s="100"/>
      <c r="N30" s="98"/>
      <c r="O30" s="98"/>
      <c r="P30" s="98"/>
      <c r="Q30" s="128"/>
      <c r="R30" s="89"/>
      <c r="S30" s="106" t="str">
        <f>IFERROR(VLOOKUP(S29,'ET 시간 배정'!$B:$F,3,FALSE)&amp;"("&amp;VLOOKUP(S29,'ET 시간 배정'!$B:$F,2,FALSE)&amp;")","")</f>
        <v>이세흠(12)</v>
      </c>
      <c r="T30" s="106" t="str">
        <f>IFERROR(VLOOKUP(T29,'ET 시간 배정'!$B:$F,3,FALSE)&amp;"("&amp;VLOOKUP(T29,'ET 시간 배정'!$B:$F,2,FALSE)&amp;")","")</f>
        <v/>
      </c>
      <c r="U30" s="106" t="str">
        <f>IFERROR(VLOOKUP(U29,'ET 시간 배정'!$B:$F,3,FALSE)&amp;"("&amp;VLOOKUP(U29,'ET 시간 배정'!$B:$F,2,FALSE)&amp;")","")</f>
        <v>우서연(12)</v>
      </c>
      <c r="V30" s="106" t="str">
        <f>IFERROR(VLOOKUP(V29,'ET 시간 배정'!$B:$F,3,FALSE)&amp;"("&amp;VLOOKUP(V29,'ET 시간 배정'!$B:$F,2,FALSE)&amp;")","")</f>
        <v/>
      </c>
      <c r="W30" s="106" t="str">
        <f>IFERROR(VLOOKUP(W29,'ET 시간 배정'!$B:$F,3,FALSE)&amp;"("&amp;VLOOKUP(W29,'ET 시간 배정'!$B:$F,2,FALSE)&amp;")","")</f>
        <v>송민경(12)</v>
      </c>
      <c r="X30" s="106" t="str">
        <f>IFERROR(VLOOKUP(X29,'ET 시간 배정'!$B:$F,3,FALSE)&amp;"("&amp;VLOOKUP(X29,'ET 시간 배정'!$B:$F,2,FALSE)&amp;")","")</f>
        <v/>
      </c>
      <c r="Y30" s="158"/>
      <c r="Z30" s="106" t="str">
        <f>IFERROR(VLOOKUP(Z29,'ET 시간 배정'!$B:$F,3,FALSE)&amp;"("&amp;VLOOKUP(Z29,'ET 시간 배정'!$B:$F,2,FALSE)&amp;")","")</f>
        <v>서시현(12)</v>
      </c>
      <c r="AA30" s="158"/>
      <c r="AB30" s="158"/>
      <c r="AC30" s="106" t="str">
        <f>IFERROR(VLOOKUP(AC29,'ET 시간 배정'!$B:$F,3,FALSE)&amp;"("&amp;VLOOKUP(AC29,'ET 시간 배정'!$B:$F,2,FALSE)&amp;")","")</f>
        <v/>
      </c>
      <c r="AD30" s="106" t="str">
        <f>IFERROR(VLOOKUP(AD29,'ET 시간 배정'!$B:$F,3,FALSE)&amp;"("&amp;VLOOKUP(AD29,'ET 시간 배정'!$B:$F,2,FALSE)&amp;")","")</f>
        <v>변세현(12)</v>
      </c>
    </row>
    <row r="31" spans="2:30" ht="18" customHeight="1" thickBot="1" x14ac:dyDescent="0.35">
      <c r="B31" s="126" t="s">
        <v>902</v>
      </c>
      <c r="C31" s="126" t="s">
        <v>901</v>
      </c>
      <c r="D31" s="126" t="s">
        <v>900</v>
      </c>
      <c r="E31" s="126" t="s">
        <v>899</v>
      </c>
      <c r="F31" s="126" t="s">
        <v>898</v>
      </c>
      <c r="G31" s="105"/>
      <c r="H31" s="126" t="s">
        <v>892</v>
      </c>
      <c r="I31" s="126" t="s">
        <v>891</v>
      </c>
      <c r="J31" s="126" t="s">
        <v>890</v>
      </c>
      <c r="K31" s="126" t="s">
        <v>889</v>
      </c>
      <c r="L31" s="134"/>
      <c r="M31" s="135"/>
      <c r="N31" s="127"/>
      <c r="O31" s="127"/>
      <c r="P31" s="102"/>
      <c r="Q31" s="127"/>
      <c r="R31" s="140"/>
      <c r="S31" s="141"/>
      <c r="T31" s="142"/>
      <c r="U31" s="142"/>
      <c r="V31" s="142"/>
      <c r="W31" s="142"/>
      <c r="X31" s="142"/>
      <c r="Y31" s="158"/>
      <c r="Z31" s="142"/>
      <c r="AA31" s="158"/>
      <c r="AB31" s="158"/>
      <c r="AC31" s="142"/>
      <c r="AD31" s="143"/>
    </row>
    <row r="32" spans="2:30" ht="18" customHeight="1" thickBot="1" x14ac:dyDescent="0.35">
      <c r="B32" s="106" t="str">
        <f>IFERROR(VLOOKUP(B31,'ET 시간 배정'!$B:$F,3,FALSE)&amp;"("&amp;VLOOKUP(B31,'ET 시간 배정'!$B:$F,2,FALSE)&amp;")","")</f>
        <v/>
      </c>
      <c r="C32" s="106" t="str">
        <f>IFERROR(VLOOKUP(C31,'ET 시간 배정'!$B:$F,3,FALSE)&amp;"("&amp;VLOOKUP(C31,'ET 시간 배정'!$B:$F,2,FALSE)&amp;")","")</f>
        <v>강정훈(11)</v>
      </c>
      <c r="D32" s="106" t="str">
        <f>IFERROR(VLOOKUP(D31,'ET 시간 배정'!$B:$F,3,FALSE)&amp;"("&amp;VLOOKUP(D31,'ET 시간 배정'!$B:$F,2,FALSE)&amp;")","")</f>
        <v/>
      </c>
      <c r="E32" s="106" t="str">
        <f>IFERROR(VLOOKUP(E31,'ET 시간 배정'!$B:$F,3,FALSE)&amp;"("&amp;VLOOKUP(E31,'ET 시간 배정'!$B:$F,2,FALSE)&amp;")","")</f>
        <v>황승현(10)</v>
      </c>
      <c r="F32" s="106" t="str">
        <f>IFERROR(VLOOKUP(F31,'ET 시간 배정'!$B:$F,3,FALSE)&amp;"("&amp;VLOOKUP(F31,'ET 시간 배정'!$B:$F,2,FALSE)&amp;")","")</f>
        <v/>
      </c>
      <c r="G32" s="105"/>
      <c r="H32" s="106" t="str">
        <f>IFERROR(VLOOKUP(H31,'ET 시간 배정'!$B:$F,3,FALSE)&amp;"("&amp;VLOOKUP(H31,'ET 시간 배정'!$B:$F,2,FALSE)&amp;")","")</f>
        <v>홍준혁(10)</v>
      </c>
      <c r="I32" s="106" t="str">
        <f>IFERROR(VLOOKUP(I31,'ET 시간 배정'!$B:$F,3,FALSE)&amp;"("&amp;VLOOKUP(I31,'ET 시간 배정'!$B:$F,2,FALSE)&amp;")","")</f>
        <v/>
      </c>
      <c r="J32" s="106" t="str">
        <f>IFERROR(VLOOKUP(J31,'ET 시간 배정'!$B:$F,3,FALSE)&amp;"("&amp;VLOOKUP(J31,'ET 시간 배정'!$B:$F,2,FALSE)&amp;")","")</f>
        <v>최동민(10)</v>
      </c>
      <c r="K32" s="106" t="str">
        <f>IFERROR(VLOOKUP(K31,'ET 시간 배정'!$B:$F,3,FALSE)&amp;"("&amp;VLOOKUP(K31,'ET 시간 배정'!$B:$F,2,FALSE)&amp;")","")</f>
        <v/>
      </c>
      <c r="L32" s="119"/>
      <c r="M32" s="136"/>
      <c r="N32" s="89"/>
      <c r="O32" s="89"/>
      <c r="P32" s="89"/>
      <c r="Q32" s="89"/>
      <c r="R32" s="127"/>
      <c r="S32" s="131" t="s">
        <v>759</v>
      </c>
      <c r="T32" s="131" t="s">
        <v>764</v>
      </c>
      <c r="U32" s="131" t="s">
        <v>765</v>
      </c>
      <c r="V32" s="131" t="s">
        <v>767</v>
      </c>
      <c r="W32" s="131" t="s">
        <v>768</v>
      </c>
      <c r="X32" s="131" t="s">
        <v>770</v>
      </c>
      <c r="Y32" s="158"/>
      <c r="Z32" s="131" t="s">
        <v>861</v>
      </c>
      <c r="AA32" s="131" t="s">
        <v>863</v>
      </c>
      <c r="AB32" s="131" t="s">
        <v>865</v>
      </c>
      <c r="AC32" s="131" t="s">
        <v>869</v>
      </c>
      <c r="AD32" s="131" t="s">
        <v>871</v>
      </c>
    </row>
    <row r="33" spans="2:30" ht="18" customHeight="1" thickBot="1" x14ac:dyDescent="0.35">
      <c r="B33" s="137"/>
      <c r="C33" s="138"/>
      <c r="D33" s="138"/>
      <c r="E33" s="138"/>
      <c r="F33" s="138"/>
      <c r="G33" s="105"/>
      <c r="H33" s="138"/>
      <c r="I33" s="138"/>
      <c r="J33" s="138"/>
      <c r="K33" s="138"/>
      <c r="L33" s="138"/>
      <c r="M33" s="139"/>
      <c r="N33" s="88"/>
      <c r="O33" s="88"/>
      <c r="P33" s="89"/>
      <c r="Q33" s="89"/>
      <c r="R33" s="145"/>
      <c r="S33" s="106" t="str">
        <f>IFERROR(VLOOKUP(S32,'ET 시간 배정'!$B:$F,3,FALSE)&amp;"("&amp;VLOOKUP(S32,'ET 시간 배정'!$B:$F,2,FALSE)&amp;")","")</f>
        <v/>
      </c>
      <c r="T33" s="106" t="str">
        <f>IFERROR(VLOOKUP(T32,'ET 시간 배정'!$B:$F,3,FALSE)&amp;"("&amp;VLOOKUP(T32,'ET 시간 배정'!$B:$F,2,FALSE)&amp;")","")</f>
        <v>백주은(12)</v>
      </c>
      <c r="U33" s="106" t="str">
        <f>IFERROR(VLOOKUP(U32,'ET 시간 배정'!$B:$F,3,FALSE)&amp;"("&amp;VLOOKUP(U32,'ET 시간 배정'!$B:$F,2,FALSE)&amp;")","")</f>
        <v/>
      </c>
      <c r="V33" s="106" t="str">
        <f>IFERROR(VLOOKUP(V32,'ET 시간 배정'!$B:$F,3,FALSE)&amp;"("&amp;VLOOKUP(V32,'ET 시간 배정'!$B:$F,2,FALSE)&amp;")","")</f>
        <v>반현진(12)</v>
      </c>
      <c r="W33" s="106" t="str">
        <f>IFERROR(VLOOKUP(W32,'ET 시간 배정'!$B:$F,3,FALSE)&amp;"("&amp;VLOOKUP(W32,'ET 시간 배정'!$B:$F,2,FALSE)&amp;")","")</f>
        <v/>
      </c>
      <c r="X33" s="106" t="str">
        <f>IFERROR(VLOOKUP(X32,'ET 시간 배정'!$B:$F,3,FALSE)&amp;"("&amp;VLOOKUP(X32,'ET 시간 배정'!$B:$F,2,FALSE)&amp;")","")</f>
        <v>박서연(12)</v>
      </c>
      <c r="Y33" s="158"/>
      <c r="Z33" s="106" t="str">
        <f>IFERROR(VLOOKUP(Z32,'ET 시간 배정'!$B:$F,3,FALSE)&amp;"("&amp;VLOOKUP(Z32,'ET 시간 배정'!$B:$F,2,FALSE)&amp;")","")</f>
        <v/>
      </c>
      <c r="AA33" s="106" t="str">
        <f>IFERROR(VLOOKUP(AA32,'ET 시간 배정'!$B:$F,3,FALSE)&amp;"("&amp;VLOOKUP(AA32,'ET 시간 배정'!$B:$F,2,FALSE)&amp;")","")</f>
        <v>김보석(12)</v>
      </c>
      <c r="AB33" s="106" t="str">
        <f>IFERROR(VLOOKUP(AB32,'ET 시간 배정'!$B:$F,3,FALSE)&amp;"("&amp;VLOOKUP(AB32,'ET 시간 배정'!$B:$F,2,FALSE)&amp;")","")</f>
        <v/>
      </c>
      <c r="AC33" s="106" t="str">
        <f>IFERROR(VLOOKUP(AC32,'ET 시간 배정'!$B:$F,3,FALSE)&amp;"("&amp;VLOOKUP(AC32,'ET 시간 배정'!$B:$F,2,FALSE)&amp;")","")</f>
        <v>홍채연(11)</v>
      </c>
      <c r="AD33" s="106" t="str">
        <f>IFERROR(VLOOKUP(AD32,'ET 시간 배정'!$B:$F,3,FALSE)&amp;"("&amp;VLOOKUP(AD32,'ET 시간 배정'!$B:$F,2,FALSE)&amp;")","")</f>
        <v/>
      </c>
    </row>
    <row r="34" spans="2:30" ht="18" customHeight="1" x14ac:dyDescent="0.3">
      <c r="B34" s="126" t="s">
        <v>903</v>
      </c>
      <c r="C34" s="126" t="s">
        <v>936</v>
      </c>
      <c r="D34" s="126" t="s">
        <v>935</v>
      </c>
      <c r="E34" s="126" t="s">
        <v>934</v>
      </c>
      <c r="F34" s="126" t="s">
        <v>933</v>
      </c>
      <c r="G34" s="105"/>
      <c r="H34" s="126" t="s">
        <v>937</v>
      </c>
      <c r="I34" s="126" t="s">
        <v>938</v>
      </c>
      <c r="J34" s="126" t="s">
        <v>939</v>
      </c>
      <c r="K34" s="126" t="s">
        <v>940</v>
      </c>
      <c r="L34" s="126" t="s">
        <v>941</v>
      </c>
      <c r="M34" s="126" t="s">
        <v>942</v>
      </c>
      <c r="N34" s="127"/>
      <c r="O34" s="127"/>
      <c r="P34" s="144"/>
      <c r="Q34" s="127"/>
      <c r="R34" s="144"/>
      <c r="S34" s="131" t="s">
        <v>761</v>
      </c>
      <c r="T34" s="131" t="s">
        <v>762</v>
      </c>
      <c r="U34" s="131" t="s">
        <v>772</v>
      </c>
      <c r="V34" s="131" t="s">
        <v>773</v>
      </c>
      <c r="W34" s="131" t="s">
        <v>775</v>
      </c>
      <c r="X34" s="131" t="s">
        <v>776</v>
      </c>
      <c r="Y34" s="158"/>
      <c r="Z34" s="131" t="s">
        <v>860</v>
      </c>
      <c r="AA34" s="131" t="s">
        <v>864</v>
      </c>
      <c r="AB34" s="131" t="s">
        <v>867</v>
      </c>
      <c r="AC34" s="131" t="s">
        <v>870</v>
      </c>
      <c r="AD34" s="131" t="s">
        <v>873</v>
      </c>
    </row>
    <row r="35" spans="2:30" ht="18" customHeight="1" thickBot="1" x14ac:dyDescent="0.35">
      <c r="B35" s="106" t="str">
        <f>IFERROR(VLOOKUP(B34,'ET 시간 배정'!$B:$F,3,FALSE)&amp;"("&amp;VLOOKUP(B34,'ET 시간 배정'!$B:$F,2,FALSE)&amp;")","")</f>
        <v>이승준(10)</v>
      </c>
      <c r="C35" s="106" t="str">
        <f>IFERROR(VLOOKUP(C34,'ET 시간 배정'!$B:$F,3,FALSE)&amp;"("&amp;VLOOKUP(C34,'ET 시간 배정'!$B:$F,2,FALSE)&amp;")","")</f>
        <v/>
      </c>
      <c r="D35" s="106" t="str">
        <f>IFERROR(VLOOKUP(D34,'ET 시간 배정'!$B:$F,3,FALSE)&amp;"("&amp;VLOOKUP(D34,'ET 시간 배정'!$B:$F,2,FALSE)&amp;")","")</f>
        <v>이민용(10)</v>
      </c>
      <c r="E35" s="106" t="str">
        <f>IFERROR(VLOOKUP(E34,'ET 시간 배정'!$B:$F,3,FALSE)&amp;"("&amp;VLOOKUP(E34,'ET 시간 배정'!$B:$F,2,FALSE)&amp;")","")</f>
        <v/>
      </c>
      <c r="F35" s="106" t="str">
        <f>IFERROR(VLOOKUP(F34,'ET 시간 배정'!$B:$F,3,FALSE)&amp;"("&amp;VLOOKUP(F34,'ET 시간 배정'!$B:$F,2,FALSE)&amp;")","")</f>
        <v>이동건(10)</v>
      </c>
      <c r="G35" s="105"/>
      <c r="H35" s="106" t="str">
        <f>IFERROR(VLOOKUP(H34,'ET 시간 배정'!$B:$F,3,FALSE)&amp;"("&amp;VLOOKUP(H34,'ET 시간 배정'!$B:$F,2,FALSE)&amp;")","")</f>
        <v/>
      </c>
      <c r="I35" s="106" t="str">
        <f>IFERROR(VLOOKUP(I34,'ET 시간 배정'!$B:$F,3,FALSE)&amp;"("&amp;VLOOKUP(I34,'ET 시간 배정'!$B:$F,2,FALSE)&amp;")","")</f>
        <v>유석민(10)</v>
      </c>
      <c r="J35" s="106" t="str">
        <f>IFERROR(VLOOKUP(J34,'ET 시간 배정'!$B:$F,3,FALSE)&amp;"("&amp;VLOOKUP(J34,'ET 시간 배정'!$B:$F,2,FALSE)&amp;")","")</f>
        <v/>
      </c>
      <c r="K35" s="106" t="str">
        <f>IFERROR(VLOOKUP(K34,'ET 시간 배정'!$B:$F,3,FALSE)&amp;"("&amp;VLOOKUP(K34,'ET 시간 배정'!$B:$F,2,FALSE)&amp;")","")</f>
        <v>안기정(10)</v>
      </c>
      <c r="L35" s="106" t="str">
        <f>IFERROR(VLOOKUP(L34,'ET 시간 배정'!$B:$F,3,FALSE)&amp;"("&amp;VLOOKUP(L34,'ET 시간 배정'!$B:$F,2,FALSE)&amp;")","")</f>
        <v/>
      </c>
      <c r="M35" s="106" t="str">
        <f>IFERROR(VLOOKUP(M34,'ET 시간 배정'!$B:$F,3,FALSE)&amp;"("&amp;VLOOKUP(M34,'ET 시간 배정'!$B:$F,2,FALSE)&amp;")","")</f>
        <v>박준서(10)</v>
      </c>
      <c r="N35" s="128"/>
      <c r="O35" s="128"/>
      <c r="P35" s="128"/>
      <c r="Q35" s="128"/>
      <c r="R35" s="128"/>
      <c r="S35" s="106" t="str">
        <f>IFERROR(VLOOKUP(S34,'ET 시간 배정'!$B:$F,3,FALSE)&amp;"("&amp;VLOOKUP(S34,'ET 시간 배정'!$B:$F,2,FALSE)&amp;")","")</f>
        <v>한소윤(11)</v>
      </c>
      <c r="T35" s="106" t="str">
        <f>IFERROR(VLOOKUP(T34,'ET 시간 배정'!$B:$F,3,FALSE)&amp;"("&amp;VLOOKUP(T34,'ET 시간 배정'!$B:$F,2,FALSE)&amp;")","")</f>
        <v/>
      </c>
      <c r="U35" s="106" t="str">
        <f>IFERROR(VLOOKUP(U34,'ET 시간 배정'!$B:$F,3,FALSE)&amp;"("&amp;VLOOKUP(U34,'ET 시간 배정'!$B:$F,2,FALSE)&amp;")","")</f>
        <v>장지안(11)</v>
      </c>
      <c r="V35" s="106" t="str">
        <f>IFERROR(VLOOKUP(V34,'ET 시간 배정'!$B:$F,3,FALSE)&amp;"("&amp;VLOOKUP(V34,'ET 시간 배정'!$B:$F,2,FALSE)&amp;")","")</f>
        <v/>
      </c>
      <c r="W35" s="106" t="str">
        <f>IFERROR(VLOOKUP(W34,'ET 시간 배정'!$B:$F,3,FALSE)&amp;"("&amp;VLOOKUP(W34,'ET 시간 배정'!$B:$F,2,FALSE)&amp;")","")</f>
        <v>이시현(11)</v>
      </c>
      <c r="X35" s="106" t="str">
        <f>IFERROR(VLOOKUP(X34,'ET 시간 배정'!$B:$F,3,FALSE)&amp;"("&amp;VLOOKUP(X34,'ET 시간 배정'!$B:$F,2,FALSE)&amp;")","")</f>
        <v/>
      </c>
      <c r="Y35" s="158"/>
      <c r="Z35" s="106" t="str">
        <f>IFERROR(VLOOKUP(Z34,'ET 시간 배정'!$B:$F,3,FALSE)&amp;"("&amp;VLOOKUP(Z34,'ET 시간 배정'!$B:$F,2,FALSE)&amp;")","")</f>
        <v>이승주(11)</v>
      </c>
      <c r="AA35" s="106" t="str">
        <f>IFERROR(VLOOKUP(AA34,'ET 시간 배정'!$B:$F,3,FALSE)&amp;"("&amp;VLOOKUP(AA34,'ET 시간 배정'!$B:$F,2,FALSE)&amp;")","")</f>
        <v/>
      </c>
      <c r="AB35" s="106" t="str">
        <f>IFERROR(VLOOKUP(AB34,'ET 시간 배정'!$B:$F,3,FALSE)&amp;"("&amp;VLOOKUP(AB34,'ET 시간 배정'!$B:$F,2,FALSE)&amp;")","")</f>
        <v>윤지원(11)</v>
      </c>
      <c r="AC35" s="106" t="str">
        <f>IFERROR(VLOOKUP(AC34,'ET 시간 배정'!$B:$F,3,FALSE)&amp;"("&amp;VLOOKUP(AC34,'ET 시간 배정'!$B:$F,2,FALSE)&amp;")","")</f>
        <v/>
      </c>
      <c r="AD35" s="106" t="str">
        <f>IFERROR(VLOOKUP(AD34,'ET 시간 배정'!$B:$F,3,FALSE)&amp;"("&amp;VLOOKUP(AD34,'ET 시간 배정'!$B:$F,2,FALSE)&amp;")","")</f>
        <v>유지민(11)</v>
      </c>
    </row>
    <row r="36" spans="2:30" ht="18" customHeight="1" thickBot="1" x14ac:dyDescent="0.35">
      <c r="B36" s="126" t="s">
        <v>904</v>
      </c>
      <c r="C36" s="126" t="s">
        <v>929</v>
      </c>
      <c r="D36" s="126" t="s">
        <v>932</v>
      </c>
      <c r="E36" s="126" t="s">
        <v>931</v>
      </c>
      <c r="F36" s="126" t="s">
        <v>930</v>
      </c>
      <c r="G36" s="105"/>
      <c r="H36" s="126" t="s">
        <v>948</v>
      </c>
      <c r="I36" s="126" t="s">
        <v>947</v>
      </c>
      <c r="J36" s="126" t="s">
        <v>946</v>
      </c>
      <c r="K36" s="126" t="s">
        <v>945</v>
      </c>
      <c r="L36" s="126" t="s">
        <v>944</v>
      </c>
      <c r="M36" s="126" t="s">
        <v>943</v>
      </c>
      <c r="N36" s="127"/>
      <c r="O36" s="127"/>
      <c r="P36" s="127"/>
      <c r="Q36" s="127"/>
      <c r="R36" s="128"/>
      <c r="S36" s="148"/>
      <c r="T36" s="132"/>
      <c r="U36" s="132"/>
      <c r="V36" s="132"/>
      <c r="W36" s="132"/>
      <c r="X36" s="132"/>
      <c r="Y36" s="158"/>
      <c r="Z36" s="142"/>
      <c r="AA36" s="142"/>
      <c r="AB36" s="142"/>
      <c r="AC36" s="142"/>
      <c r="AD36" s="143"/>
    </row>
    <row r="37" spans="2:30" ht="18" customHeight="1" thickBot="1" x14ac:dyDescent="0.35">
      <c r="B37" s="106" t="str">
        <f>IFERROR(VLOOKUP(B36,'ET 시간 배정'!$B:$F,3,FALSE)&amp;"("&amp;VLOOKUP(B36,'ET 시간 배정'!$B:$F,2,FALSE)&amp;")","")</f>
        <v/>
      </c>
      <c r="C37" s="106" t="str">
        <f>IFERROR(VLOOKUP(C36,'ET 시간 배정'!$B:$F,3,FALSE)&amp;"("&amp;VLOOKUP(C36,'ET 시간 배정'!$B:$F,2,FALSE)&amp;")","")</f>
        <v>박서진(10)</v>
      </c>
      <c r="D37" s="106" t="str">
        <f>IFERROR(VLOOKUP(D36,'ET 시간 배정'!$B:$F,3,FALSE)&amp;"("&amp;VLOOKUP(D36,'ET 시간 배정'!$B:$F,2,FALSE)&amp;")","")</f>
        <v/>
      </c>
      <c r="E37" s="106" t="str">
        <f>IFERROR(VLOOKUP(E36,'ET 시간 배정'!$B:$F,3,FALSE)&amp;"("&amp;VLOOKUP(E36,'ET 시간 배정'!$B:$F,2,FALSE)&amp;")","")</f>
        <v>박무성(10)</v>
      </c>
      <c r="F37" s="106" t="str">
        <f>IFERROR(VLOOKUP(F36,'ET 시간 배정'!$B:$F,3,FALSE)&amp;"("&amp;VLOOKUP(F36,'ET 시간 배정'!$B:$F,2,FALSE)&amp;")","")</f>
        <v/>
      </c>
      <c r="G37" s="105"/>
      <c r="H37" s="106" t="str">
        <f>IFERROR(VLOOKUP(H36,'ET 시간 배정'!$B:$F,3,FALSE)&amp;"("&amp;VLOOKUP(H36,'ET 시간 배정'!$B:$F,2,FALSE)&amp;")","")</f>
        <v>김현규(10)</v>
      </c>
      <c r="I37" s="106" t="str">
        <f>IFERROR(VLOOKUP(I36,'ET 시간 배정'!$B:$F,3,FALSE)&amp;"("&amp;VLOOKUP(I36,'ET 시간 배정'!$B:$F,2,FALSE)&amp;")","")</f>
        <v/>
      </c>
      <c r="J37" s="106" t="str">
        <f>IFERROR(VLOOKUP(J36,'ET 시간 배정'!$B:$F,3,FALSE)&amp;"("&amp;VLOOKUP(J36,'ET 시간 배정'!$B:$F,2,FALSE)&amp;")","")</f>
        <v>김명준(10)</v>
      </c>
      <c r="K37" s="106" t="str">
        <f>IFERROR(VLOOKUP(K36,'ET 시간 배정'!$B:$F,3,FALSE)&amp;"("&amp;VLOOKUP(K36,'ET 시간 배정'!$B:$F,2,FALSE)&amp;")","")</f>
        <v/>
      </c>
      <c r="L37" s="106" t="str">
        <f>IFERROR(VLOOKUP(L36,'ET 시간 배정'!$B:$F,3,FALSE)&amp;"("&amp;VLOOKUP(L36,'ET 시간 배정'!$B:$F,2,FALSE)&amp;")","")</f>
        <v>김도준(10)</v>
      </c>
      <c r="M37" s="106" t="str">
        <f>IFERROR(VLOOKUP(M36,'ET 시간 배정'!$B:$F,3,FALSE)&amp;"("&amp;VLOOKUP(M36,'ET 시간 배정'!$B:$F,2,FALSE)&amp;")","")</f>
        <v/>
      </c>
      <c r="N37" s="128"/>
      <c r="O37" s="128"/>
      <c r="P37" s="128"/>
      <c r="Q37" s="128"/>
      <c r="R37" s="127"/>
      <c r="S37" s="131" t="s">
        <v>777</v>
      </c>
      <c r="T37" s="131" t="s">
        <v>779</v>
      </c>
      <c r="U37" s="131" t="s">
        <v>780</v>
      </c>
      <c r="V37" s="131" t="s">
        <v>782</v>
      </c>
      <c r="W37" s="131" t="s">
        <v>783</v>
      </c>
      <c r="X37" s="131" t="s">
        <v>785</v>
      </c>
      <c r="Y37" s="158"/>
      <c r="Z37" s="131" t="s">
        <v>844</v>
      </c>
      <c r="AA37" s="131" t="s">
        <v>846</v>
      </c>
      <c r="AB37" s="131" t="s">
        <v>847</v>
      </c>
      <c r="AC37" s="131" t="s">
        <v>849</v>
      </c>
      <c r="AD37" s="131" t="s">
        <v>850</v>
      </c>
    </row>
    <row r="38" spans="2:30" ht="18" customHeight="1" thickBot="1" x14ac:dyDescent="0.35">
      <c r="B38" s="95"/>
      <c r="C38" s="96"/>
      <c r="D38" s="96"/>
      <c r="E38" s="96"/>
      <c r="F38" s="96"/>
      <c r="G38" s="105"/>
      <c r="H38" s="96"/>
      <c r="I38" s="96"/>
      <c r="J38" s="96"/>
      <c r="K38" s="96"/>
      <c r="L38" s="96"/>
      <c r="M38" s="146"/>
      <c r="N38" s="147"/>
      <c r="O38" s="147"/>
      <c r="P38" s="128"/>
      <c r="Q38" s="147"/>
      <c r="R38" s="147"/>
      <c r="S38" s="106" t="str">
        <f>IFERROR(VLOOKUP(S37,'ET 시간 배정'!$B:$F,3,FALSE)&amp;"("&amp;VLOOKUP(S37,'ET 시간 배정'!$B:$F,2,FALSE)&amp;")","")</f>
        <v/>
      </c>
      <c r="T38" s="106" t="str">
        <f>IFERROR(VLOOKUP(T37,'ET 시간 배정'!$B:$F,3,FALSE)&amp;"("&amp;VLOOKUP(T37,'ET 시간 배정'!$B:$F,2,FALSE)&amp;")","")</f>
        <v>신혜원(11)</v>
      </c>
      <c r="U38" s="106" t="str">
        <f>IFERROR(VLOOKUP(U37,'ET 시간 배정'!$B:$F,3,FALSE)&amp;"("&amp;VLOOKUP(U37,'ET 시간 배정'!$B:$F,2,FALSE)&amp;")","")</f>
        <v/>
      </c>
      <c r="V38" s="106" t="str">
        <f>IFERROR(VLOOKUP(V37,'ET 시간 배정'!$B:$F,3,FALSE)&amp;"("&amp;VLOOKUP(V37,'ET 시간 배정'!$B:$F,2,FALSE)&amp;")","")</f>
        <v>문채원(11)</v>
      </c>
      <c r="W38" s="106" t="str">
        <f>IFERROR(VLOOKUP(W37,'ET 시간 배정'!$B:$F,3,FALSE)&amp;"("&amp;VLOOKUP(W37,'ET 시간 배정'!$B:$F,2,FALSE)&amp;")","")</f>
        <v/>
      </c>
      <c r="X38" s="106" t="str">
        <f>IFERROR(VLOOKUP(X37,'ET 시간 배정'!$B:$F,3,FALSE)&amp;"("&amp;VLOOKUP(X37,'ET 시간 배정'!$B:$F,2,FALSE)&amp;")","")</f>
        <v>문아영(11)</v>
      </c>
      <c r="Y38" s="158"/>
      <c r="Z38" s="106" t="str">
        <f>IFERROR(VLOOKUP(Z37,'ET 시간 배정'!$B:$F,3,FALSE)&amp;"("&amp;VLOOKUP(Z37,'ET 시간 배정'!$B:$F,2,FALSE)&amp;")","")</f>
        <v/>
      </c>
      <c r="AA38" s="106" t="str">
        <f>IFERROR(VLOOKUP(AA37,'ET 시간 배정'!$B:$F,3,FALSE)&amp;"("&amp;VLOOKUP(AA37,'ET 시간 배정'!$B:$F,2,FALSE)&amp;")","")</f>
        <v>류연경(11)</v>
      </c>
      <c r="AB38" s="106" t="str">
        <f>IFERROR(VLOOKUP(AB37,'ET 시간 배정'!$B:$F,3,FALSE)&amp;"("&amp;VLOOKUP(AB37,'ET 시간 배정'!$B:$F,2,FALSE)&amp;")","")</f>
        <v/>
      </c>
      <c r="AC38" s="106" t="str">
        <f>IFERROR(VLOOKUP(AC37,'ET 시간 배정'!$B:$F,3,FALSE)&amp;"("&amp;VLOOKUP(AC37,'ET 시간 배정'!$B:$F,2,FALSE)&amp;")","")</f>
        <v>김현서(11)</v>
      </c>
      <c r="AD38" s="106" t="str">
        <f>IFERROR(VLOOKUP(AD37,'ET 시간 배정'!$B:$F,3,FALSE)&amp;"("&amp;VLOOKUP(AD37,'ET 시간 배정'!$B:$F,2,FALSE)&amp;")","")</f>
        <v/>
      </c>
    </row>
    <row r="39" spans="2:30" ht="18" customHeight="1" x14ac:dyDescent="0.3">
      <c r="B39" s="126" t="s">
        <v>905</v>
      </c>
      <c r="C39" s="126" t="s">
        <v>928</v>
      </c>
      <c r="D39" s="126" t="s">
        <v>324</v>
      </c>
      <c r="E39" s="126" t="s">
        <v>924</v>
      </c>
      <c r="F39" s="126" t="s">
        <v>923</v>
      </c>
      <c r="G39" s="105"/>
      <c r="H39" s="126" t="s">
        <v>949</v>
      </c>
      <c r="I39" s="126" t="s">
        <v>970</v>
      </c>
      <c r="J39" s="126" t="s">
        <v>969</v>
      </c>
      <c r="K39" s="126" t="s">
        <v>966</v>
      </c>
      <c r="L39" s="126" t="s">
        <v>965</v>
      </c>
      <c r="M39" s="126" t="s">
        <v>962</v>
      </c>
      <c r="N39" s="127"/>
      <c r="O39" s="127"/>
      <c r="P39" s="144"/>
      <c r="Q39" s="127"/>
      <c r="R39" s="144"/>
      <c r="S39" s="131" t="s">
        <v>787</v>
      </c>
      <c r="T39" s="131" t="s">
        <v>788</v>
      </c>
      <c r="U39" s="131" t="s">
        <v>790</v>
      </c>
      <c r="V39" s="131" t="s">
        <v>791</v>
      </c>
      <c r="W39" s="131" t="s">
        <v>793</v>
      </c>
      <c r="X39" s="131" t="s">
        <v>794</v>
      </c>
      <c r="Y39" s="158"/>
      <c r="Z39" s="131" t="s">
        <v>858</v>
      </c>
      <c r="AA39" s="131" t="s">
        <v>856</v>
      </c>
      <c r="AB39" s="131" t="s">
        <v>855</v>
      </c>
      <c r="AC39" s="131" t="s">
        <v>853</v>
      </c>
      <c r="AD39" s="131" t="s">
        <v>852</v>
      </c>
    </row>
    <row r="40" spans="2:30" ht="18" customHeight="1" thickBot="1" x14ac:dyDescent="0.35">
      <c r="B40" s="106" t="str">
        <f>IFERROR(VLOOKUP(B39,'ET 시간 배정'!$B:$F,3,FALSE)&amp;"("&amp;VLOOKUP(B39,'ET 시간 배정'!$B:$F,2,FALSE)&amp;")","")</f>
        <v>김규민(10)</v>
      </c>
      <c r="C40" s="106" t="str">
        <f>IFERROR(VLOOKUP(C39,'ET 시간 배정'!$B:$F,3,FALSE)&amp;"("&amp;VLOOKUP(C39,'ET 시간 배정'!$B:$F,2,FALSE)&amp;")","")</f>
        <v/>
      </c>
      <c r="D40" s="106" t="str">
        <f>IFERROR(VLOOKUP(D39,'ET 시간 배정'!$B:$F,3,FALSE)&amp;"("&amp;VLOOKUP(D39,'ET 시간 배정'!$B:$F,2,FALSE)&amp;")","")</f>
        <v/>
      </c>
      <c r="E40" s="106" t="str">
        <f>IFERROR(VLOOKUP(E39,'ET 시간 배정'!$B:$F,3,FALSE)&amp;"("&amp;VLOOKUP(E39,'ET 시간 배정'!$B:$F,2,FALSE)&amp;")","")</f>
        <v/>
      </c>
      <c r="F40" s="106" t="str">
        <f>IFERROR(VLOOKUP(F39,'ET 시간 배정'!$B:$F,3,FALSE)&amp;"("&amp;VLOOKUP(F39,'ET 시간 배정'!$B:$F,2,FALSE)&amp;")","")</f>
        <v>한준희(9)</v>
      </c>
      <c r="G40" s="105"/>
      <c r="H40" s="106" t="str">
        <f>IFERROR(VLOOKUP(H39,'ET 시간 배정'!$B:$F,3,FALSE)&amp;"("&amp;VLOOKUP(H39,'ET 시간 배정'!$B:$F,2,FALSE)&amp;")","")</f>
        <v/>
      </c>
      <c r="I40" s="106" t="str">
        <f>IFERROR(VLOOKUP(I39,'ET 시간 배정'!$B:$F,3,FALSE)&amp;"("&amp;VLOOKUP(I39,'ET 시간 배정'!$B:$F,2,FALSE)&amp;")","")</f>
        <v>최현웅(9)</v>
      </c>
      <c r="J40" s="106" t="str">
        <f>IFERROR(VLOOKUP(J39,'ET 시간 배정'!$B:$F,3,FALSE)&amp;"("&amp;VLOOKUP(J39,'ET 시간 배정'!$B:$F,2,FALSE)&amp;")","")</f>
        <v/>
      </c>
      <c r="K40" s="106" t="str">
        <f>IFERROR(VLOOKUP(K39,'ET 시간 배정'!$B:$F,3,FALSE)&amp;"("&amp;VLOOKUP(K39,'ET 시간 배정'!$B:$F,2,FALSE)&amp;")","")</f>
        <v>정영진(9)</v>
      </c>
      <c r="L40" s="106" t="str">
        <f>IFERROR(VLOOKUP(L39,'ET 시간 배정'!$B:$F,3,FALSE)&amp;"("&amp;VLOOKUP(L39,'ET 시간 배정'!$B:$F,2,FALSE)&amp;")","")</f>
        <v/>
      </c>
      <c r="M40" s="106" t="str">
        <f>IFERROR(VLOOKUP(M39,'ET 시간 배정'!$B:$F,3,FALSE)&amp;"("&amp;VLOOKUP(M39,'ET 시간 배정'!$B:$F,2,FALSE)&amp;")","")</f>
        <v>전진홍(9)</v>
      </c>
      <c r="N40" s="128"/>
      <c r="O40" s="128"/>
      <c r="P40" s="128"/>
      <c r="Q40" s="128"/>
      <c r="R40" s="128"/>
      <c r="S40" s="106" t="str">
        <f>IFERROR(VLOOKUP(S39,'ET 시간 배정'!$B:$F,3,FALSE)&amp;"("&amp;VLOOKUP(S39,'ET 시간 배정'!$B:$F,2,FALSE)&amp;")","")</f>
        <v>김시연(11)</v>
      </c>
      <c r="T40" s="106" t="str">
        <f>IFERROR(VLOOKUP(T39,'ET 시간 배정'!$B:$F,3,FALSE)&amp;"("&amp;VLOOKUP(T39,'ET 시간 배정'!$B:$F,2,FALSE)&amp;")","")</f>
        <v/>
      </c>
      <c r="U40" s="106" t="str">
        <f>IFERROR(VLOOKUP(U39,'ET 시간 배정'!$B:$F,3,FALSE)&amp;"("&amp;VLOOKUP(U39,'ET 시간 배정'!$B:$F,2,FALSE)&amp;")","")</f>
        <v>김민채(11)</v>
      </c>
      <c r="V40" s="106" t="str">
        <f>IFERROR(VLOOKUP(V39,'ET 시간 배정'!$B:$F,3,FALSE)&amp;"("&amp;VLOOKUP(V39,'ET 시간 배정'!$B:$F,2,FALSE)&amp;")","")</f>
        <v/>
      </c>
      <c r="W40" s="106" t="str">
        <f>IFERROR(VLOOKUP(W39,'ET 시간 배정'!$B:$F,3,FALSE)&amp;"("&amp;VLOOKUP(W39,'ET 시간 배정'!$B:$F,2,FALSE)&amp;")","")</f>
        <v>권민경(11)</v>
      </c>
      <c r="X40" s="106" t="str">
        <f>IFERROR(VLOOKUP(X39,'ET 시간 배정'!$B:$F,3,FALSE)&amp;"("&amp;VLOOKUP(X39,'ET 시간 배정'!$B:$F,2,FALSE)&amp;")","")</f>
        <v/>
      </c>
      <c r="Y40" s="158"/>
      <c r="Z40" s="106" t="str">
        <f>IFERROR(VLOOKUP(Z39,'ET 시간 배정'!$B:$F,3,FALSE)&amp;"("&amp;VLOOKUP(Z39,'ET 시간 배정'!$B:$F,2,FALSE)&amp;")","")</f>
        <v>이서은(10)</v>
      </c>
      <c r="AA40" s="106" t="str">
        <f>IFERROR(VLOOKUP(AA39,'ET 시간 배정'!$B:$F,3,FALSE)&amp;"("&amp;VLOOKUP(AA39,'ET 시간 배정'!$B:$F,2,FALSE)&amp;")","")</f>
        <v/>
      </c>
      <c r="AB40" s="106" t="str">
        <f>IFERROR(VLOOKUP(AB39,'ET 시간 배정'!$B:$F,3,FALSE)&amp;"("&amp;VLOOKUP(AB39,'ET 시간 배정'!$B:$F,2,FALSE)&amp;")","")</f>
        <v>이다민(10)</v>
      </c>
      <c r="AC40" s="106" t="str">
        <f>IFERROR(VLOOKUP(AC39,'ET 시간 배정'!$B:$F,3,FALSE)&amp;"("&amp;VLOOKUP(AC39,'ET 시간 배정'!$B:$F,2,FALSE)&amp;")","")</f>
        <v/>
      </c>
      <c r="AD40" s="106" t="str">
        <f>IFERROR(VLOOKUP(AD39,'ET 시간 배정'!$B:$F,3,FALSE)&amp;"("&amp;VLOOKUP(AD39,'ET 시간 배정'!$B:$F,2,FALSE)&amp;")","")</f>
        <v>오은채(10)</v>
      </c>
    </row>
    <row r="41" spans="2:30" ht="18" customHeight="1" thickBot="1" x14ac:dyDescent="0.35">
      <c r="B41" s="126" t="s">
        <v>906</v>
      </c>
      <c r="C41" s="126" t="s">
        <v>927</v>
      </c>
      <c r="D41" s="126" t="s">
        <v>926</v>
      </c>
      <c r="E41" s="126" t="s">
        <v>925</v>
      </c>
      <c r="F41" s="126" t="s">
        <v>922</v>
      </c>
      <c r="G41" s="105"/>
      <c r="H41" s="126" t="s">
        <v>950</v>
      </c>
      <c r="I41" s="126" t="s">
        <v>971</v>
      </c>
      <c r="J41" s="126" t="s">
        <v>968</v>
      </c>
      <c r="K41" s="126" t="s">
        <v>967</v>
      </c>
      <c r="L41" s="126" t="s">
        <v>964</v>
      </c>
      <c r="M41" s="126" t="s">
        <v>963</v>
      </c>
      <c r="N41" s="127"/>
      <c r="O41" s="127"/>
      <c r="P41" s="127"/>
      <c r="Q41" s="127"/>
      <c r="R41" s="128"/>
      <c r="S41" s="148"/>
      <c r="T41" s="142"/>
      <c r="U41" s="142"/>
      <c r="V41" s="142"/>
      <c r="W41" s="142"/>
      <c r="X41" s="142"/>
      <c r="Y41" s="158"/>
      <c r="Z41" s="132"/>
      <c r="AA41" s="132"/>
      <c r="AB41" s="132"/>
      <c r="AC41" s="132"/>
      <c r="AD41" s="133"/>
    </row>
    <row r="42" spans="2:30" ht="18" customHeight="1" thickBot="1" x14ac:dyDescent="0.35">
      <c r="B42" s="106" t="str">
        <f>IFERROR(VLOOKUP(B41,'ET 시간 배정'!$B:$F,3,FALSE)&amp;"("&amp;VLOOKUP(B41,'ET 시간 배정'!$B:$F,2,FALSE)&amp;")","")</f>
        <v/>
      </c>
      <c r="C42" s="106" t="str">
        <f>IFERROR(VLOOKUP(C41,'ET 시간 배정'!$B:$F,3,FALSE)&amp;"("&amp;VLOOKUP(C41,'ET 시간 배정'!$B:$F,2,FALSE)&amp;")","")</f>
        <v>전지훈(9)</v>
      </c>
      <c r="D42" s="106" t="str">
        <f>IFERROR(VLOOKUP(D41,'ET 시간 배정'!$B:$F,3,FALSE)&amp;"("&amp;VLOOKUP(D41,'ET 시간 배정'!$B:$F,2,FALSE)&amp;")","")</f>
        <v/>
      </c>
      <c r="E42" s="106" t="str">
        <f>IFERROR(VLOOKUP(E41,'ET 시간 배정'!$B:$F,3,FALSE)&amp;"("&amp;VLOOKUP(E41,'ET 시간 배정'!$B:$F,2,FALSE)&amp;")","")</f>
        <v>전경민(9)</v>
      </c>
      <c r="F42" s="106" t="str">
        <f>IFERROR(VLOOKUP(F41,'ET 시간 배정'!$B:$F,3,FALSE)&amp;"("&amp;VLOOKUP(F41,'ET 시간 배정'!$B:$F,2,FALSE)&amp;")","")</f>
        <v/>
      </c>
      <c r="G42" s="105"/>
      <c r="H42" s="106" t="str">
        <f>IFERROR(VLOOKUP(H41,'ET 시간 배정'!$B:$F,3,FALSE)&amp;"("&amp;VLOOKUP(H41,'ET 시간 배정'!$B:$F,2,FALSE)&amp;")","")</f>
        <v>이휘성(9)</v>
      </c>
      <c r="I42" s="106" t="str">
        <f>IFERROR(VLOOKUP(I41,'ET 시간 배정'!$B:$F,3,FALSE)&amp;"("&amp;VLOOKUP(I41,'ET 시간 배정'!$B:$F,2,FALSE)&amp;")","")</f>
        <v/>
      </c>
      <c r="J42" s="106" t="str">
        <f>IFERROR(VLOOKUP(J41,'ET 시간 배정'!$B:$F,3,FALSE)&amp;"("&amp;VLOOKUP(J41,'ET 시간 배정'!$B:$F,2,FALSE)&amp;")","")</f>
        <v>이형국(9)</v>
      </c>
      <c r="K42" s="106" t="str">
        <f>IFERROR(VLOOKUP(K41,'ET 시간 배정'!$B:$F,3,FALSE)&amp;"("&amp;VLOOKUP(K41,'ET 시간 배정'!$B:$F,2,FALSE)&amp;")","")</f>
        <v/>
      </c>
      <c r="L42" s="106" t="str">
        <f>IFERROR(VLOOKUP(L41,'ET 시간 배정'!$B:$F,3,FALSE)&amp;"("&amp;VLOOKUP(L41,'ET 시간 배정'!$B:$F,2,FALSE)&amp;")","")</f>
        <v>이규헌(9)</v>
      </c>
      <c r="M42" s="106" t="str">
        <f>IFERROR(VLOOKUP(M41,'ET 시간 배정'!$B:$F,3,FALSE)&amp;"("&amp;VLOOKUP(M41,'ET 시간 배정'!$B:$F,2,FALSE)&amp;")","")</f>
        <v/>
      </c>
      <c r="N42" s="128"/>
      <c r="O42" s="128"/>
      <c r="P42" s="128"/>
      <c r="Q42" s="128"/>
      <c r="R42" s="127"/>
      <c r="S42" s="131" t="s">
        <v>795</v>
      </c>
      <c r="T42" s="131" t="s">
        <v>800</v>
      </c>
      <c r="U42" s="131" t="s">
        <v>801</v>
      </c>
      <c r="V42" s="131" t="s">
        <v>803</v>
      </c>
      <c r="W42" s="131" t="s">
        <v>804</v>
      </c>
      <c r="X42" s="131" t="s">
        <v>806</v>
      </c>
      <c r="Y42" s="158"/>
      <c r="Z42" s="131" t="s">
        <v>840</v>
      </c>
      <c r="AA42" s="158"/>
      <c r="AB42" s="132"/>
      <c r="AC42" s="131" t="s">
        <v>842</v>
      </c>
      <c r="AD42" s="131" t="s">
        <v>843</v>
      </c>
    </row>
    <row r="43" spans="2:30" ht="18" customHeight="1" thickBot="1" x14ac:dyDescent="0.35">
      <c r="B43" s="95"/>
      <c r="C43" s="96"/>
      <c r="D43" s="96"/>
      <c r="E43" s="96"/>
      <c r="F43" s="96"/>
      <c r="G43" s="105"/>
      <c r="H43" s="96"/>
      <c r="I43" s="96"/>
      <c r="J43" s="96"/>
      <c r="K43" s="96"/>
      <c r="L43" s="96"/>
      <c r="M43" s="146"/>
      <c r="N43" s="147"/>
      <c r="O43" s="147"/>
      <c r="P43" s="128"/>
      <c r="Q43" s="147"/>
      <c r="R43" s="147"/>
      <c r="S43" s="106" t="str">
        <f>IFERROR(VLOOKUP(S42,'ET 시간 배정'!$B:$F,3,FALSE)&amp;"("&amp;VLOOKUP(S42,'ET 시간 배정'!$B:$F,2,FALSE)&amp;")","")</f>
        <v/>
      </c>
      <c r="T43" s="106" t="str">
        <f>IFERROR(VLOOKUP(T42,'ET 시간 배정'!$B:$F,3,FALSE)&amp;"("&amp;VLOOKUP(T42,'ET 시간 배정'!$B:$F,2,FALSE)&amp;")","")</f>
        <v>서해원(10)</v>
      </c>
      <c r="U43" s="106" t="str">
        <f>IFERROR(VLOOKUP(U42,'ET 시간 배정'!$B:$F,3,FALSE)&amp;"("&amp;VLOOKUP(U42,'ET 시간 배정'!$B:$F,2,FALSE)&amp;")","")</f>
        <v/>
      </c>
      <c r="V43" s="106" t="str">
        <f>IFERROR(VLOOKUP(V42,'ET 시간 배정'!$B:$F,3,FALSE)&amp;"("&amp;VLOOKUP(V42,'ET 시간 배정'!$B:$F,2,FALSE)&amp;")","")</f>
        <v>박민경(10)</v>
      </c>
      <c r="W43" s="106" t="str">
        <f>IFERROR(VLOOKUP(W42,'ET 시간 배정'!$B:$F,3,FALSE)&amp;"("&amp;VLOOKUP(W42,'ET 시간 배정'!$B:$F,2,FALSE)&amp;")","")</f>
        <v/>
      </c>
      <c r="X43" s="106" t="str">
        <f>IFERROR(VLOOKUP(X42,'ET 시간 배정'!$B:$F,3,FALSE)&amp;"("&amp;VLOOKUP(X42,'ET 시간 배정'!$B:$F,2,FALSE)&amp;")","")</f>
        <v>김지윤(10)</v>
      </c>
      <c r="Y43" s="158"/>
      <c r="Z43" s="106" t="str">
        <f>IFERROR(VLOOKUP(Z42,'ET 시간 배정'!$B:$F,3,FALSE)&amp;"("&amp;VLOOKUP(Z42,'ET 시간 배정'!$B:$F,2,FALSE)&amp;")","")</f>
        <v/>
      </c>
      <c r="AA43" s="158"/>
      <c r="AB43" s="158"/>
      <c r="AC43" s="106" t="str">
        <f>IFERROR(VLOOKUP(AC42,'ET 시간 배정'!$B:$F,3,FALSE)&amp;"("&amp;VLOOKUP(AC42,'ET 시간 배정'!$B:$F,2,FALSE)&amp;")","")</f>
        <v>김예지(10)</v>
      </c>
      <c r="AD43" s="106" t="str">
        <f>IFERROR(VLOOKUP(AD42,'ET 시간 배정'!$B:$F,3,FALSE)&amp;"("&amp;VLOOKUP(AD42,'ET 시간 배정'!$B:$F,2,FALSE)&amp;")","")</f>
        <v/>
      </c>
    </row>
    <row r="44" spans="2:30" ht="18" customHeight="1" x14ac:dyDescent="0.3">
      <c r="B44" s="126" t="s">
        <v>907</v>
      </c>
      <c r="C44" s="126" t="s">
        <v>918</v>
      </c>
      <c r="D44" s="126" t="s">
        <v>919</v>
      </c>
      <c r="E44" s="126" t="s">
        <v>920</v>
      </c>
      <c r="F44" s="126" t="s">
        <v>921</v>
      </c>
      <c r="G44" s="105"/>
      <c r="H44" s="126" t="s">
        <v>951</v>
      </c>
      <c r="I44" s="126" t="s">
        <v>958</v>
      </c>
      <c r="J44" s="126" t="s">
        <v>957</v>
      </c>
      <c r="K44" s="126" t="s">
        <v>956</v>
      </c>
      <c r="L44" s="149"/>
      <c r="M44" s="135"/>
      <c r="N44" s="127"/>
      <c r="O44" s="127"/>
      <c r="P44" s="144"/>
      <c r="Q44" s="127"/>
      <c r="R44" s="144"/>
      <c r="S44" s="131" t="s">
        <v>797</v>
      </c>
      <c r="T44" s="131" t="s">
        <v>798</v>
      </c>
      <c r="U44" s="131" t="s">
        <v>810</v>
      </c>
      <c r="V44" s="131" t="s">
        <v>811</v>
      </c>
      <c r="W44" s="131" t="s">
        <v>812</v>
      </c>
      <c r="X44" s="131" t="s">
        <v>807</v>
      </c>
      <c r="Y44" s="158"/>
      <c r="Z44" s="131" t="s">
        <v>839</v>
      </c>
      <c r="AA44" s="131" t="s">
        <v>837</v>
      </c>
      <c r="AB44" s="131" t="s">
        <v>836</v>
      </c>
      <c r="AC44" s="131" t="s">
        <v>835</v>
      </c>
      <c r="AD44" s="131" t="s">
        <v>834</v>
      </c>
    </row>
    <row r="45" spans="2:30" ht="18" customHeight="1" thickBot="1" x14ac:dyDescent="0.35">
      <c r="B45" s="106" t="str">
        <f>IFERROR(VLOOKUP(B44,'ET 시간 배정'!$B:$F,3,FALSE)&amp;"("&amp;VLOOKUP(B44,'ET 시간 배정'!$B:$F,2,FALSE)&amp;")","")</f>
        <v>신재인(9)</v>
      </c>
      <c r="C45" s="106" t="str">
        <f>IFERROR(VLOOKUP(C44,'ET 시간 배정'!$B:$F,3,FALSE)&amp;"("&amp;VLOOKUP(C44,'ET 시간 배정'!$B:$F,2,FALSE)&amp;")","")</f>
        <v/>
      </c>
      <c r="D45" s="106" t="str">
        <f>IFERROR(VLOOKUP(D44,'ET 시간 배정'!$B:$F,3,FALSE)&amp;"("&amp;VLOOKUP(D44,'ET 시간 배정'!$B:$F,2,FALSE)&amp;")","")</f>
        <v>서윤덕(9)</v>
      </c>
      <c r="E45" s="106" t="str">
        <f>IFERROR(VLOOKUP(E44,'ET 시간 배정'!$B:$F,3,FALSE)&amp;"("&amp;VLOOKUP(E44,'ET 시간 배정'!$B:$F,2,FALSE)&amp;")","")</f>
        <v/>
      </c>
      <c r="F45" s="106" t="str">
        <f>IFERROR(VLOOKUP(F44,'ET 시간 배정'!$B:$F,3,FALSE)&amp;"("&amp;VLOOKUP(F44,'ET 시간 배정'!$B:$F,2,FALSE)&amp;")","")</f>
        <v>서아열(9)</v>
      </c>
      <c r="G45" s="105"/>
      <c r="H45" s="106" t="str">
        <f>IFERROR(VLOOKUP(H44,'ET 시간 배정'!$B:$F,3,FALSE)&amp;"("&amp;VLOOKUP(H44,'ET 시간 배정'!$B:$F,2,FALSE)&amp;")","")</f>
        <v/>
      </c>
      <c r="I45" s="106" t="str">
        <f>IFERROR(VLOOKUP(I44,'ET 시간 배정'!$B:$F,3,FALSE)&amp;"("&amp;VLOOKUP(I44,'ET 시간 배정'!$B:$F,2,FALSE)&amp;")","")</f>
        <v>박지민(9)</v>
      </c>
      <c r="J45" s="106" t="str">
        <f>IFERROR(VLOOKUP(J44,'ET 시간 배정'!$B:$F,3,FALSE)&amp;"("&amp;VLOOKUP(J44,'ET 시간 배정'!$B:$F,2,FALSE)&amp;")","")</f>
        <v/>
      </c>
      <c r="K45" s="106" t="str">
        <f>IFERROR(VLOOKUP(K44,'ET 시간 배정'!$B:$F,3,FALSE)&amp;"("&amp;VLOOKUP(K44,'ET 시간 배정'!$B:$F,2,FALSE)&amp;")","")</f>
        <v>김세빈(9)</v>
      </c>
      <c r="L45" s="118"/>
      <c r="M45" s="100"/>
      <c r="N45" s="128"/>
      <c r="O45" s="128"/>
      <c r="P45" s="128"/>
      <c r="Q45" s="128"/>
      <c r="S45" s="106" t="str">
        <f>IFERROR(VLOOKUP(S44,'ET 시간 배정'!$B:$F,3,FALSE)&amp;"("&amp;VLOOKUP(S44,'ET 시간 배정'!$B:$F,2,FALSE)&amp;")","")</f>
        <v>김민서(10)</v>
      </c>
      <c r="T45" s="106" t="str">
        <f>IFERROR(VLOOKUP(T44,'ET 시간 배정'!$B:$F,3,FALSE)&amp;"("&amp;VLOOKUP(T44,'ET 시간 배정'!$B:$F,2,FALSE)&amp;")","")</f>
        <v/>
      </c>
      <c r="U45" s="106" t="str">
        <f>IFERROR(VLOOKUP(U44,'ET 시간 배정'!$B:$F,3,FALSE)&amp;"("&amp;VLOOKUP(U44,'ET 시간 배정'!$B:$F,2,FALSE)&amp;")","")</f>
        <v>권서영(10)</v>
      </c>
      <c r="V45" s="106" t="str">
        <f>IFERROR(VLOOKUP(V44,'ET 시간 배정'!$B:$F,3,FALSE)&amp;"("&amp;VLOOKUP(V44,'ET 시간 배정'!$B:$F,2,FALSE)&amp;")","")</f>
        <v/>
      </c>
      <c r="W45" s="106" t="str">
        <f>IFERROR(VLOOKUP(W44,'ET 시간 배정'!$B:$F,3,FALSE)&amp;"("&amp;VLOOKUP(W44,'ET 시간 배정'!$B:$F,2,FALSE)&amp;")","")</f>
        <v>강서현(10)</v>
      </c>
      <c r="X45" s="106" t="str">
        <f>IFERROR(VLOOKUP(X44,'ET 시간 배정'!$B:$F,3,FALSE)&amp;"("&amp;VLOOKUP(X44,'ET 시간 배정'!$B:$F,2,FALSE)&amp;")","")</f>
        <v/>
      </c>
      <c r="Y45" s="158"/>
      <c r="Z45" s="106" t="str">
        <f>IFERROR(VLOOKUP(Z44,'ET 시간 배정'!$B:$F,3,FALSE)&amp;"("&amp;VLOOKUP(Z44,'ET 시간 배정'!$B:$F,2,FALSE)&amp;")","")</f>
        <v>이은채(9)</v>
      </c>
      <c r="AA45" s="106" t="str">
        <f>IFERROR(VLOOKUP(AA44,'ET 시간 배정'!$B:$F,3,FALSE)&amp;"("&amp;VLOOKUP(AA44,'ET 시간 배정'!$B:$F,2,FALSE)&amp;")","")</f>
        <v/>
      </c>
      <c r="AB45" s="106" t="str">
        <f>IFERROR(VLOOKUP(AB44,'ET 시간 배정'!$B:$F,3,FALSE)&amp;"("&amp;VLOOKUP(AB44,'ET 시간 배정'!$B:$F,2,FALSE)&amp;")","")</f>
        <v>이서현(9)</v>
      </c>
      <c r="AC45" s="106" t="str">
        <f>IFERROR(VLOOKUP(AC44,'ET 시간 배정'!$B:$F,3,FALSE)&amp;"("&amp;VLOOKUP(AC44,'ET 시간 배정'!$B:$F,2,FALSE)&amp;")","")</f>
        <v/>
      </c>
      <c r="AD45" s="106" t="str">
        <f>IFERROR(VLOOKUP(AD44,'ET 시간 배정'!$B:$F,3,FALSE)&amp;"("&amp;VLOOKUP(AD44,'ET 시간 배정'!$B:$F,2,FALSE)&amp;")","")</f>
        <v>신유나(9)</v>
      </c>
    </row>
    <row r="46" spans="2:30" ht="18" customHeight="1" thickBot="1" x14ac:dyDescent="0.35">
      <c r="B46" s="126" t="s">
        <v>908</v>
      </c>
      <c r="C46" s="126" t="s">
        <v>917</v>
      </c>
      <c r="D46" s="126" t="s">
        <v>916</v>
      </c>
      <c r="E46" s="126" t="s">
        <v>915</v>
      </c>
      <c r="F46" s="126" t="s">
        <v>914</v>
      </c>
      <c r="G46" s="105"/>
      <c r="H46" s="126" t="s">
        <v>952</v>
      </c>
      <c r="I46" s="126" t="s">
        <v>953</v>
      </c>
      <c r="J46" s="126" t="s">
        <v>954</v>
      </c>
      <c r="K46" s="126" t="s">
        <v>955</v>
      </c>
      <c r="L46" s="149"/>
      <c r="M46" s="135"/>
      <c r="N46" s="127"/>
      <c r="O46" s="127"/>
      <c r="P46" s="127"/>
      <c r="Q46" s="127"/>
      <c r="S46" s="148"/>
      <c r="T46" s="132"/>
      <c r="U46" s="132"/>
      <c r="V46" s="132"/>
      <c r="W46" s="132"/>
      <c r="X46" s="132"/>
      <c r="Y46" s="158"/>
      <c r="Z46" s="132"/>
      <c r="AA46" s="132"/>
      <c r="AB46" s="132"/>
      <c r="AC46" s="132"/>
      <c r="AD46" s="133"/>
    </row>
    <row r="47" spans="2:30" ht="18" customHeight="1" thickBot="1" x14ac:dyDescent="0.35">
      <c r="B47" s="106" t="str">
        <f>IFERROR(VLOOKUP(B46,'ET 시간 배정'!$B:$F,3,FALSE)&amp;"("&amp;VLOOKUP(B46,'ET 시간 배정'!$B:$F,2,FALSE)&amp;")","")</f>
        <v/>
      </c>
      <c r="C47" s="106" t="str">
        <f>IFERROR(VLOOKUP(C46,'ET 시간 배정'!$B:$F,3,FALSE)&amp;"("&amp;VLOOKUP(C46,'ET 시간 배정'!$B:$F,2,FALSE)&amp;")","")</f>
        <v>김민준(9)</v>
      </c>
      <c r="D47" s="106" t="str">
        <f>IFERROR(VLOOKUP(D46,'ET 시간 배정'!$B:$F,3,FALSE)&amp;"("&amp;VLOOKUP(D46,'ET 시간 배정'!$B:$F,2,FALSE)&amp;")","")</f>
        <v/>
      </c>
      <c r="E47" s="106" t="str">
        <f>IFERROR(VLOOKUP(E46,'ET 시간 배정'!$B:$F,3,FALSE)&amp;"("&amp;VLOOKUP(E46,'ET 시간 배정'!$B:$F,2,FALSE)&amp;")","")</f>
        <v>구본현(9)</v>
      </c>
      <c r="F47" s="106" t="str">
        <f>IFERROR(VLOOKUP(F46,'ET 시간 배정'!$B:$F,3,FALSE)&amp;"("&amp;VLOOKUP(F46,'ET 시간 배정'!$B:$F,2,FALSE)&amp;")","")</f>
        <v/>
      </c>
      <c r="G47" s="150"/>
      <c r="H47" s="106" t="str">
        <f>IFERROR(VLOOKUP(H46,'ET 시간 배정'!$B:$F,3,FALSE)&amp;"("&amp;VLOOKUP(H46,'ET 시간 배정'!$B:$F,2,FALSE)&amp;")","")</f>
        <v>황유민(8)</v>
      </c>
      <c r="I47" s="106" t="str">
        <f>IFERROR(VLOOKUP(I46,'ET 시간 배정'!$B:$F,3,FALSE)&amp;"("&amp;VLOOKUP(I46,'ET 시간 배정'!$B:$F,2,FALSE)&amp;")","")</f>
        <v/>
      </c>
      <c r="J47" s="106" t="str">
        <f>IFERROR(VLOOKUP(J46,'ET 시간 배정'!$B:$F,3,FALSE)&amp;"("&amp;VLOOKUP(J46,'ET 시간 배정'!$B:$F,2,FALSE)&amp;")","")</f>
        <v>최진우(8)</v>
      </c>
      <c r="K47" s="106" t="str">
        <f>IFERROR(VLOOKUP(K46,'ET 시간 배정'!$B:$F,3,FALSE)&amp;"("&amp;VLOOKUP(K46,'ET 시간 배정'!$B:$F,2,FALSE)&amp;")","")</f>
        <v/>
      </c>
      <c r="L47" s="118"/>
      <c r="M47" s="98"/>
      <c r="N47" s="542" t="s">
        <v>322</v>
      </c>
      <c r="O47" s="127"/>
      <c r="P47" s="127"/>
      <c r="Q47" s="127"/>
      <c r="R47" s="545" t="s">
        <v>322</v>
      </c>
      <c r="S47" s="149"/>
      <c r="T47" s="131" t="s">
        <v>814</v>
      </c>
      <c r="U47" s="131" t="s">
        <v>815</v>
      </c>
      <c r="V47" s="131" t="s">
        <v>817</v>
      </c>
      <c r="W47" s="131" t="s">
        <v>818</v>
      </c>
      <c r="X47" s="131" t="s">
        <v>820</v>
      </c>
      <c r="Y47" s="158"/>
      <c r="Z47" s="131" t="s">
        <v>822</v>
      </c>
      <c r="AA47" s="131" t="s">
        <v>823</v>
      </c>
      <c r="AB47" s="131" t="s">
        <v>824</v>
      </c>
      <c r="AC47" s="131" t="s">
        <v>825</v>
      </c>
      <c r="AD47" s="131" t="s">
        <v>826</v>
      </c>
    </row>
    <row r="48" spans="2:30" ht="18" customHeight="1" thickBot="1" x14ac:dyDescent="0.35">
      <c r="B48" s="14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543"/>
      <c r="O48" s="127"/>
      <c r="P48" s="127"/>
      <c r="Q48" s="127"/>
      <c r="R48" s="546"/>
      <c r="S48" s="95"/>
      <c r="T48" s="106" t="str">
        <f>IFERROR(VLOOKUP(T47,'ET 시간 배정'!$B:$F,3,FALSE)&amp;"("&amp;VLOOKUP(T47,'ET 시간 배정'!$B:$F,2,FALSE)&amp;")","")</f>
        <v>백수아(9)</v>
      </c>
      <c r="U48" s="106" t="str">
        <f>IFERROR(VLOOKUP(U47,'ET 시간 배정'!$B:$F,3,FALSE)&amp;"("&amp;VLOOKUP(U47,'ET 시간 배정'!$B:$F,2,FALSE)&amp;")","")</f>
        <v/>
      </c>
      <c r="V48" s="106" t="str">
        <f>IFERROR(VLOOKUP(V47,'ET 시간 배정'!$B:$F,3,FALSE)&amp;"("&amp;VLOOKUP(V47,'ET 시간 배정'!$B:$F,2,FALSE)&amp;")","")</f>
        <v>박소연(9)</v>
      </c>
      <c r="W48" s="106" t="str">
        <f>IFERROR(VLOOKUP(W47,'ET 시간 배정'!$B:$F,3,FALSE)&amp;"("&amp;VLOOKUP(W47,'ET 시간 배정'!$B:$F,2,FALSE)&amp;")","")</f>
        <v/>
      </c>
      <c r="X48" s="106" t="str">
        <f>IFERROR(VLOOKUP(X47,'ET 시간 배정'!$B:$F,3,FALSE)&amp;"("&amp;VLOOKUP(X47,'ET 시간 배정'!$B:$F,2,FALSE)&amp;")","")</f>
        <v>노현지(9)</v>
      </c>
      <c r="Y48" s="158"/>
      <c r="Z48" s="106" t="str">
        <f>IFERROR(VLOOKUP(Z47,'ET 시간 배정'!$B:$F,3,FALSE)&amp;"("&amp;VLOOKUP(Z47,'ET 시간 배정'!$B:$F,2,FALSE)&amp;")","")</f>
        <v/>
      </c>
      <c r="AA48" s="106" t="str">
        <f>IFERROR(VLOOKUP(AA47,'ET 시간 배정'!$B:$F,3,FALSE)&amp;"("&amp;VLOOKUP(AA47,'ET 시간 배정'!$B:$F,2,FALSE)&amp;")","")</f>
        <v>김지은(9)</v>
      </c>
      <c r="AB48" s="106" t="str">
        <f>IFERROR(VLOOKUP(AB47,'ET 시간 배정'!$B:$F,3,FALSE)&amp;"("&amp;VLOOKUP(AB47,'ET 시간 배정'!$B:$F,2,FALSE)&amp;")","")</f>
        <v/>
      </c>
      <c r="AC48" s="106" t="str">
        <f>IFERROR(VLOOKUP(AC47,'ET 시간 배정'!$B:$F,3,FALSE)&amp;"("&amp;VLOOKUP(AC47,'ET 시간 배정'!$B:$F,2,FALSE)&amp;")","")</f>
        <v>김서윤(9)</v>
      </c>
      <c r="AD48" s="106" t="str">
        <f>IFERROR(VLOOKUP(AD47,'ET 시간 배정'!$B:$F,3,FALSE)&amp;"("&amp;VLOOKUP(AD47,'ET 시간 배정'!$B:$F,2,FALSE)&amp;")","")</f>
        <v/>
      </c>
    </row>
    <row r="49" spans="2:30" ht="18" customHeight="1" thickBot="1" x14ac:dyDescent="0.35">
      <c r="B49" s="126" t="s">
        <v>909</v>
      </c>
      <c r="C49" s="126" t="s">
        <v>910</v>
      </c>
      <c r="D49" s="126" t="s">
        <v>911</v>
      </c>
      <c r="E49" s="126" t="s">
        <v>912</v>
      </c>
      <c r="F49" s="126" t="s">
        <v>913</v>
      </c>
      <c r="G49" s="151"/>
      <c r="H49" s="126" t="s">
        <v>959</v>
      </c>
      <c r="I49" s="126" t="s">
        <v>960</v>
      </c>
      <c r="J49" s="126" t="s">
        <v>961</v>
      </c>
      <c r="K49" s="126" t="s">
        <v>875</v>
      </c>
      <c r="L49" s="126" t="s">
        <v>874</v>
      </c>
      <c r="M49" s="152"/>
      <c r="N49" s="544"/>
      <c r="O49" s="127"/>
      <c r="P49" s="127"/>
      <c r="Q49" s="127"/>
      <c r="R49" s="547"/>
      <c r="S49" s="148"/>
      <c r="T49" s="162"/>
      <c r="U49" s="162"/>
      <c r="V49" s="162"/>
      <c r="W49" s="162"/>
      <c r="X49" s="131" t="s">
        <v>821</v>
      </c>
      <c r="Y49" s="158"/>
      <c r="Z49" s="131" t="s">
        <v>832</v>
      </c>
      <c r="AA49" s="131" t="s">
        <v>830</v>
      </c>
      <c r="AB49" s="131" t="s">
        <v>829</v>
      </c>
      <c r="AC49" s="131" t="s">
        <v>828</v>
      </c>
      <c r="AD49" s="131" t="s">
        <v>827</v>
      </c>
    </row>
    <row r="50" spans="2:30" ht="18" customHeight="1" thickBot="1" x14ac:dyDescent="0.35">
      <c r="B50" s="106" t="str">
        <f>IFERROR(VLOOKUP(B49,'ET 시간 배정'!$B:$F,3,FALSE)&amp;"("&amp;VLOOKUP(B49,'ET 시간 배정'!$B:$F,2,FALSE)&amp;")","")</f>
        <v>최은성(8)</v>
      </c>
      <c r="C50" s="106" t="str">
        <f>IFERROR(VLOOKUP(C49,'ET 시간 배정'!$B:$F,3,FALSE)&amp;"("&amp;VLOOKUP(C49,'ET 시간 배정'!$B:$F,2,FALSE)&amp;")","")</f>
        <v/>
      </c>
      <c r="D50" s="106" t="str">
        <f>IFERROR(VLOOKUP(D49,'ET 시간 배정'!$B:$F,3,FALSE)&amp;"("&amp;VLOOKUP(D49,'ET 시간 배정'!$B:$F,2,FALSE)&amp;")","")</f>
        <v>조성민(8)</v>
      </c>
      <c r="E50" s="106" t="str">
        <f>IFERROR(VLOOKUP(E49,'ET 시간 배정'!$B:$F,3,FALSE)&amp;"("&amp;VLOOKUP(E49,'ET 시간 배정'!$B:$F,2,FALSE)&amp;")","")</f>
        <v/>
      </c>
      <c r="F50" s="106" t="str">
        <f>IFERROR(VLOOKUP(F49,'ET 시간 배정'!$B:$F,3,FALSE)&amp;"("&amp;VLOOKUP(F49,'ET 시간 배정'!$B:$F,2,FALSE)&amp;")","")</f>
        <v>정래영(8)</v>
      </c>
      <c r="G50" s="153"/>
      <c r="H50" s="106" t="str">
        <f>IFERROR(VLOOKUP(H49,'ET 시간 배정'!$B:$F,3,FALSE)&amp;"("&amp;VLOOKUP(H49,'ET 시간 배정'!$B:$F,2,FALSE)&amp;")","")</f>
        <v/>
      </c>
      <c r="I50" s="106" t="str">
        <f>IFERROR(VLOOKUP(I49,'ET 시간 배정'!$B:$F,3,FALSE)&amp;"("&amp;VLOOKUP(I49,'ET 시간 배정'!$B:$F,2,FALSE)&amp;")","")</f>
        <v>전규진(8)</v>
      </c>
      <c r="J50" s="106" t="str">
        <f>IFERROR(VLOOKUP(J49,'ET 시간 배정'!$B:$F,3,FALSE)&amp;"("&amp;VLOOKUP(J49,'ET 시간 배정'!$B:$F,2,FALSE)&amp;")","")</f>
        <v/>
      </c>
      <c r="K50" s="106" t="str">
        <f>IFERROR(VLOOKUP(K49,'ET 시간 배정'!$B:$F,3,FALSE)&amp;"("&amp;VLOOKUP(K49,'ET 시간 배정'!$B:$F,2,FALSE)&amp;")","")</f>
        <v>이효민(8)</v>
      </c>
      <c r="L50" s="106" t="str">
        <f>IFERROR(VLOOKUP(L49,'ET 시간 배정'!$B:$F,3,FALSE)&amp;"("&amp;VLOOKUP(L49,'ET 시간 배정'!$B:$F,2,FALSE)&amp;")","")</f>
        <v/>
      </c>
      <c r="M50" s="125"/>
      <c r="N50" s="98"/>
      <c r="O50" s="128"/>
      <c r="P50" s="128"/>
      <c r="Q50" s="128"/>
      <c r="R50" s="164"/>
      <c r="S50" s="159"/>
      <c r="T50" s="160"/>
      <c r="U50" s="160"/>
      <c r="V50" s="160"/>
      <c r="W50" s="160"/>
      <c r="X50" s="106" t="str">
        <f>IFERROR(VLOOKUP(X49,'ET 시간 배정'!$B:$F,3,FALSE)&amp;"("&amp;VLOOKUP(X49,'ET 시간 배정'!$B:$F,2,FALSE)&amp;")","")</f>
        <v/>
      </c>
      <c r="Y50" s="161"/>
      <c r="Z50" s="106" t="str">
        <f>IFERROR(VLOOKUP(Z49,'ET 시간 배정'!$B:$F,3,FALSE)&amp;"("&amp;VLOOKUP(Z49,'ET 시간 배정'!$B:$F,2,FALSE)&amp;")","")</f>
        <v>김민서(9)</v>
      </c>
      <c r="AA50" s="106" t="str">
        <f>IFERROR(VLOOKUP(AA49,'ET 시간 배정'!$B:$F,3,FALSE)&amp;"("&amp;VLOOKUP(AA49,'ET 시간 배정'!$B:$F,2,FALSE)&amp;")","")</f>
        <v/>
      </c>
      <c r="AB50" s="106" t="str">
        <f>IFERROR(VLOOKUP(AB49,'ET 시간 배정'!$B:$F,3,FALSE)&amp;"("&amp;VLOOKUP(AB49,'ET 시간 배정'!$B:$F,2,FALSE)&amp;")","")</f>
        <v>김도윤(9)</v>
      </c>
      <c r="AC50" s="106" t="str">
        <f>IFERROR(VLOOKUP(AC49,'ET 시간 배정'!$B:$F,3,FALSE)&amp;"("&amp;VLOOKUP(AC49,'ET 시간 배정'!$B:$F,2,FALSE)&amp;")","")</f>
        <v/>
      </c>
      <c r="AD50" s="106" t="str">
        <f>IFERROR(VLOOKUP(AD49,'ET 시간 배정'!$B:$F,3,FALSE)&amp;"("&amp;VLOOKUP(AD49,'ET 시간 배정'!$B:$F,2,FALSE)&amp;")","")</f>
        <v>권하진(9)</v>
      </c>
    </row>
    <row r="51" spans="2:30" ht="18" customHeight="1" x14ac:dyDescent="0.3"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536" t="s">
        <v>325</v>
      </c>
      <c r="O51" s="537"/>
      <c r="P51" s="537"/>
      <c r="Q51" s="537"/>
      <c r="R51" s="538"/>
      <c r="S51" s="163"/>
      <c r="T51" s="163"/>
      <c r="U51" s="163"/>
      <c r="V51" s="163"/>
      <c r="W51" s="163"/>
    </row>
    <row r="52" spans="2:30" ht="18" customHeight="1" thickBot="1" x14ac:dyDescent="0.35"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539"/>
      <c r="O52" s="540"/>
      <c r="P52" s="540"/>
      <c r="Q52" s="540"/>
      <c r="R52" s="541"/>
      <c r="T52" s="163"/>
      <c r="U52" s="163"/>
      <c r="V52" s="163"/>
      <c r="W52" s="163"/>
    </row>
    <row r="53" spans="2:30" ht="18" customHeight="1" x14ac:dyDescent="0.3"/>
  </sheetData>
  <mergeCells count="12">
    <mergeCell ref="O19:P19"/>
    <mergeCell ref="Z19:AA19"/>
    <mergeCell ref="B1:AD1"/>
    <mergeCell ref="U4:U17"/>
    <mergeCell ref="E18:I18"/>
    <mergeCell ref="O18:P18"/>
    <mergeCell ref="Z18:AA18"/>
    <mergeCell ref="N51:R52"/>
    <mergeCell ref="N27:N29"/>
    <mergeCell ref="R25:R27"/>
    <mergeCell ref="N47:N49"/>
    <mergeCell ref="R47:R49"/>
  </mergeCells>
  <phoneticPr fontId="27" type="noConversion"/>
  <printOptions horizontalCentered="1"/>
  <pageMargins left="0.23622047244094491" right="0.23622047244094491" top="0" bottom="0" header="0.31496062992125984" footer="0.31496062992125984"/>
  <pageSetup paperSize="12" scale="6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69"/>
  <sheetViews>
    <sheetView zoomScale="80" zoomScaleNormal="80" workbookViewId="0">
      <selection activeCell="J24" sqref="J24"/>
    </sheetView>
  </sheetViews>
  <sheetFormatPr defaultRowHeight="16.5" x14ac:dyDescent="0.3"/>
  <cols>
    <col min="1" max="1" width="8.625" style="36"/>
    <col min="8" max="8" width="8.625" style="36"/>
  </cols>
  <sheetData>
    <row r="1" spans="2:22" s="36" customFormat="1" ht="17.25" thickBot="1" x14ac:dyDescent="0.35"/>
    <row r="2" spans="2:22" ht="17.45" customHeight="1" x14ac:dyDescent="0.3">
      <c r="D2" s="555" t="s">
        <v>1167</v>
      </c>
      <c r="E2" s="561"/>
      <c r="F2" s="556"/>
      <c r="L2" s="555" t="s">
        <v>1168</v>
      </c>
      <c r="M2" s="556"/>
      <c r="S2" s="555" t="s">
        <v>1235</v>
      </c>
      <c r="T2" s="556"/>
      <c r="U2" s="86"/>
    </row>
    <row r="3" spans="2:22" ht="18" customHeight="1" thickBot="1" x14ac:dyDescent="0.35">
      <c r="D3" s="559"/>
      <c r="E3" s="562"/>
      <c r="F3" s="560"/>
      <c r="L3" s="557"/>
      <c r="M3" s="558"/>
      <c r="S3" s="559"/>
      <c r="T3" s="560"/>
      <c r="U3" s="86"/>
    </row>
    <row r="4" spans="2:22" x14ac:dyDescent="0.3">
      <c r="B4" s="182" t="s">
        <v>1166</v>
      </c>
      <c r="C4" s="183" t="s">
        <v>1172</v>
      </c>
      <c r="D4" s="181" t="s">
        <v>1179</v>
      </c>
      <c r="E4" s="181" t="s">
        <v>1186</v>
      </c>
      <c r="F4" s="183" t="s">
        <v>1193</v>
      </c>
      <c r="G4" s="181" t="s">
        <v>1200</v>
      </c>
      <c r="H4" s="181" t="s">
        <v>1363</v>
      </c>
      <c r="I4" s="180"/>
      <c r="J4" s="182" t="s">
        <v>1166</v>
      </c>
      <c r="K4" s="183" t="s">
        <v>1202</v>
      </c>
      <c r="L4" s="183" t="s">
        <v>1209</v>
      </c>
      <c r="M4" s="183" t="s">
        <v>1215</v>
      </c>
      <c r="N4" s="183" t="s">
        <v>1221</v>
      </c>
      <c r="O4" s="184" t="s">
        <v>1227</v>
      </c>
      <c r="P4" s="180"/>
      <c r="Q4" s="182" t="s">
        <v>1166</v>
      </c>
      <c r="R4" s="183" t="s">
        <v>1233</v>
      </c>
      <c r="S4" s="183" t="s">
        <v>1241</v>
      </c>
      <c r="T4" s="183" t="s">
        <v>1247</v>
      </c>
      <c r="U4" s="183" t="s">
        <v>1253</v>
      </c>
      <c r="V4" s="184" t="s">
        <v>1259</v>
      </c>
    </row>
    <row r="5" spans="2:22" s="36" customFormat="1" x14ac:dyDescent="0.3">
      <c r="B5" s="185" t="s">
        <v>1164</v>
      </c>
      <c r="C5" s="175">
        <f>VLOOKUP(C4,'ET 시간 배정'!$B$187:$E$377,2,0)</f>
        <v>0</v>
      </c>
      <c r="D5" s="175">
        <f>VLOOKUP(D4,'ET 시간 배정'!$B$187:$E$377,2,0)</f>
        <v>0</v>
      </c>
      <c r="E5" s="175">
        <f>VLOOKUP(E4,'ET 시간 배정'!$B$187:$E$377,2,0)</f>
        <v>0</v>
      </c>
      <c r="F5" s="175">
        <f>VLOOKUP(F4,'ET 시간 배정'!$B$187:$E$377,2,0)</f>
        <v>0</v>
      </c>
      <c r="G5" s="175">
        <f>VLOOKUP(G4,'ET 시간 배정'!$B$187:$E$377,2,0)</f>
        <v>0</v>
      </c>
      <c r="H5" s="175">
        <f>VLOOKUP(H4,'ET 시간 배정'!$B$187:$E$377,2,0)</f>
        <v>0</v>
      </c>
      <c r="I5" s="180"/>
      <c r="J5" s="185" t="s">
        <v>1164</v>
      </c>
      <c r="K5" s="175">
        <f>VLOOKUP(K4,'ET 시간 배정'!$B$187:$E$377,2,0)</f>
        <v>0</v>
      </c>
      <c r="L5" s="175">
        <f>VLOOKUP(L4,'ET 시간 배정'!$B$187:$E$377,2,0)</f>
        <v>0</v>
      </c>
      <c r="M5" s="175">
        <f>VLOOKUP(M4,'ET 시간 배정'!$B$187:$E$377,2,0)</f>
        <v>0</v>
      </c>
      <c r="N5" s="175">
        <f>VLOOKUP(N4,'ET 시간 배정'!$B$187:$E$377,2,0)</f>
        <v>0</v>
      </c>
      <c r="O5" s="186">
        <f>VLOOKUP(O4,'ET 시간 배정'!$B$187:$E$377,2,0)</f>
        <v>0</v>
      </c>
      <c r="P5" s="180"/>
      <c r="Q5" s="185" t="s">
        <v>1164</v>
      </c>
      <c r="R5" s="175">
        <f>VLOOKUP(R4,'ET 시간 배정'!$B$187:$E$377,2,0)</f>
        <v>0</v>
      </c>
      <c r="S5" s="175">
        <f>VLOOKUP(S4,'ET 시간 배정'!$B$187:$E$377,2,0)</f>
        <v>0</v>
      </c>
      <c r="T5" s="175">
        <f>VLOOKUP(T4,'ET 시간 배정'!$B$187:$E$377,2,0)</f>
        <v>0</v>
      </c>
      <c r="U5" s="175">
        <f>VLOOKUP(U4,'ET 시간 배정'!$B$187:$E$377,2,0)</f>
        <v>0</v>
      </c>
      <c r="V5" s="186">
        <f>VLOOKUP(V4,'ET 시간 배정'!$B$187:$E$377,2,0)</f>
        <v>0</v>
      </c>
    </row>
    <row r="6" spans="2:22" s="36" customFormat="1" x14ac:dyDescent="0.3">
      <c r="B6" s="185" t="s">
        <v>1165</v>
      </c>
      <c r="C6" s="175">
        <f>VLOOKUP(C4,'ET 시간 배정'!$B$187:$E$377,3,0)</f>
        <v>0</v>
      </c>
      <c r="D6" s="175">
        <f>VLOOKUP(D4,'ET 시간 배정'!$B$187:$E$377,3,0)</f>
        <v>0</v>
      </c>
      <c r="E6" s="175">
        <f>VLOOKUP(E4,'ET 시간 배정'!$B$187:$E$377,3,0)</f>
        <v>0</v>
      </c>
      <c r="F6" s="175">
        <f>VLOOKUP(F4,'ET 시간 배정'!$B$187:$E$377,3,0)</f>
        <v>0</v>
      </c>
      <c r="G6" s="175">
        <f>VLOOKUP(G4,'ET 시간 배정'!$B$187:$E$377,3,0)</f>
        <v>0</v>
      </c>
      <c r="H6" s="175">
        <f>VLOOKUP(H4,'ET 시간 배정'!$B$187:$E$377,3,0)</f>
        <v>0</v>
      </c>
      <c r="I6" s="180"/>
      <c r="J6" s="185" t="s">
        <v>1165</v>
      </c>
      <c r="K6" s="175">
        <f>VLOOKUP(K4,'ET 시간 배정'!$B$187:$E$377,3,0)</f>
        <v>0</v>
      </c>
      <c r="L6" s="175">
        <f>VLOOKUP(L4,'ET 시간 배정'!$B$187:$E$377,3,0)</f>
        <v>0</v>
      </c>
      <c r="M6" s="175">
        <f>VLOOKUP(M4,'ET 시간 배정'!$B$187:$E$377,3,0)</f>
        <v>0</v>
      </c>
      <c r="N6" s="175">
        <f>VLOOKUP(N4,'ET 시간 배정'!$B$187:$E$377,3,0)</f>
        <v>0</v>
      </c>
      <c r="O6" s="186">
        <f>VLOOKUP(O4,'ET 시간 배정'!$B$187:$E$377,3,0)</f>
        <v>0</v>
      </c>
      <c r="P6" s="180"/>
      <c r="Q6" s="185" t="s">
        <v>1165</v>
      </c>
      <c r="R6" s="175">
        <f>VLOOKUP(R4,'ET 시간 배정'!$B$187:$E$377,3,0)</f>
        <v>0</v>
      </c>
      <c r="S6" s="175">
        <f>VLOOKUP(S4,'ET 시간 배정'!$B$187:$E$377,3,0)</f>
        <v>0</v>
      </c>
      <c r="T6" s="175">
        <f>VLOOKUP(T4,'ET 시간 배정'!$B$187:$E$377,3,0)</f>
        <v>0</v>
      </c>
      <c r="U6" s="175">
        <f>VLOOKUP(U4,'ET 시간 배정'!$B$187:$E$377,3,0)</f>
        <v>0</v>
      </c>
      <c r="V6" s="186">
        <f>VLOOKUP(V4,'ET 시간 배정'!$B$187:$E$377,3,0)</f>
        <v>0</v>
      </c>
    </row>
    <row r="7" spans="2:22" s="36" customFormat="1" x14ac:dyDescent="0.3">
      <c r="B7" s="185" t="s">
        <v>1166</v>
      </c>
      <c r="C7" s="181" t="s">
        <v>1173</v>
      </c>
      <c r="D7" s="181" t="s">
        <v>1366</v>
      </c>
      <c r="E7" s="181" t="s">
        <v>1187</v>
      </c>
      <c r="F7" s="181" t="s">
        <v>1194</v>
      </c>
      <c r="G7" s="181" t="s">
        <v>1201</v>
      </c>
      <c r="H7" s="181" t="s">
        <v>1364</v>
      </c>
      <c r="I7" s="180"/>
      <c r="J7" s="185" t="s">
        <v>1166</v>
      </c>
      <c r="K7" s="181" t="s">
        <v>1204</v>
      </c>
      <c r="L7" s="181" t="s">
        <v>1210</v>
      </c>
      <c r="M7" s="181" t="s">
        <v>1216</v>
      </c>
      <c r="N7" s="181" t="s">
        <v>1222</v>
      </c>
      <c r="O7" s="187" t="s">
        <v>1228</v>
      </c>
      <c r="P7" s="180"/>
      <c r="Q7" s="185" t="s">
        <v>1166</v>
      </c>
      <c r="R7" s="181" t="s">
        <v>1236</v>
      </c>
      <c r="S7" s="181" t="s">
        <v>1242</v>
      </c>
      <c r="T7" s="181" t="s">
        <v>1248</v>
      </c>
      <c r="U7" s="181" t="s">
        <v>1254</v>
      </c>
      <c r="V7" s="187" t="s">
        <v>1260</v>
      </c>
    </row>
    <row r="8" spans="2:22" s="36" customFormat="1" x14ac:dyDescent="0.3">
      <c r="B8" s="185" t="s">
        <v>1164</v>
      </c>
      <c r="C8" s="175">
        <f>VLOOKUP(C7,'ET 시간 배정'!$B$187:$E$377,2,0)</f>
        <v>0</v>
      </c>
      <c r="D8" s="175">
        <f>VLOOKUP(D7,'ET 시간 배정'!$B$187:$E$377,2,0)</f>
        <v>0</v>
      </c>
      <c r="E8" s="175">
        <f>VLOOKUP(E7,'ET 시간 배정'!$B$187:$E$377,2,0)</f>
        <v>0</v>
      </c>
      <c r="F8" s="175">
        <f>VLOOKUP(F7,'ET 시간 배정'!$B$187:$E$377,2,0)</f>
        <v>0</v>
      </c>
      <c r="G8" s="175">
        <f>VLOOKUP(G7,'ET 시간 배정'!$B$187:$E$377,2,0)</f>
        <v>0</v>
      </c>
      <c r="H8" s="175">
        <f>VLOOKUP(H7,'ET 시간 배정'!$B$187:$E$377,2,0)</f>
        <v>0</v>
      </c>
      <c r="I8" s="180"/>
      <c r="J8" s="185" t="s">
        <v>1164</v>
      </c>
      <c r="K8" s="175">
        <f>VLOOKUP(K7,'ET 시간 배정'!$B$187:$E$377,2,0)</f>
        <v>0</v>
      </c>
      <c r="L8" s="175">
        <f>VLOOKUP(L7,'ET 시간 배정'!$B$187:$E$377,2,0)</f>
        <v>0</v>
      </c>
      <c r="M8" s="175">
        <f>VLOOKUP(M7,'ET 시간 배정'!$B$187:$E$377,2,0)</f>
        <v>0</v>
      </c>
      <c r="N8" s="175">
        <f>VLOOKUP(N7,'ET 시간 배정'!$B$187:$E$377,2,0)</f>
        <v>0</v>
      </c>
      <c r="O8" s="186">
        <f>VLOOKUP(O7,'ET 시간 배정'!$B$187:$E$377,2,0)</f>
        <v>0</v>
      </c>
      <c r="P8" s="180"/>
      <c r="Q8" s="185" t="s">
        <v>1164</v>
      </c>
      <c r="R8" s="175">
        <f>VLOOKUP(R7,'ET 시간 배정'!$B$187:$E$377,2,0)</f>
        <v>0</v>
      </c>
      <c r="S8" s="175">
        <f>VLOOKUP(S7,'ET 시간 배정'!$B$187:$E$377,2,0)</f>
        <v>0</v>
      </c>
      <c r="T8" s="175">
        <f>VLOOKUP(T7,'ET 시간 배정'!$B$187:$E$377,2,0)</f>
        <v>0</v>
      </c>
      <c r="U8" s="175">
        <f>VLOOKUP(U7,'ET 시간 배정'!$B$187:$E$377,2,0)</f>
        <v>0</v>
      </c>
      <c r="V8" s="186">
        <f>VLOOKUP(V7,'ET 시간 배정'!$B$187:$E$377,2,0)</f>
        <v>0</v>
      </c>
    </row>
    <row r="9" spans="2:22" s="36" customFormat="1" x14ac:dyDescent="0.3">
      <c r="B9" s="185" t="s">
        <v>1165</v>
      </c>
      <c r="C9" s="175">
        <f>VLOOKUP(C7,'ET 시간 배정'!$B$187:$E$377,3,0)</f>
        <v>0</v>
      </c>
      <c r="D9" s="175">
        <f>VLOOKUP(D7,'ET 시간 배정'!$B$187:$E$377,3,0)</f>
        <v>0</v>
      </c>
      <c r="E9" s="175">
        <f>VLOOKUP(E7,'ET 시간 배정'!$B$187:$E$377,3,0)</f>
        <v>0</v>
      </c>
      <c r="F9" s="175">
        <f>VLOOKUP(F7,'ET 시간 배정'!$B$187:$E$377,3,0)</f>
        <v>0</v>
      </c>
      <c r="G9" s="175">
        <f>VLOOKUP(G7,'ET 시간 배정'!$B$187:$E$377,3,0)</f>
        <v>0</v>
      </c>
      <c r="H9" s="175">
        <f>VLOOKUP(H7,'ET 시간 배정'!$B$187:$E$377,3,0)</f>
        <v>0</v>
      </c>
      <c r="I9" s="180"/>
      <c r="J9" s="185" t="s">
        <v>1165</v>
      </c>
      <c r="K9" s="175">
        <f>VLOOKUP(K7,'ET 시간 배정'!$B$187:$E$377,3,0)</f>
        <v>0</v>
      </c>
      <c r="L9" s="175">
        <f>VLOOKUP(L7,'ET 시간 배정'!$B$187:$E$377,3,0)</f>
        <v>0</v>
      </c>
      <c r="M9" s="175">
        <f>VLOOKUP(M7,'ET 시간 배정'!$B$187:$E$377,3,0)</f>
        <v>0</v>
      </c>
      <c r="N9" s="175">
        <f>VLOOKUP(N7,'ET 시간 배정'!$B$187:$E$377,3,0)</f>
        <v>0</v>
      </c>
      <c r="O9" s="186">
        <f>VLOOKUP(O7,'ET 시간 배정'!$B$187:$E$377,3,0)</f>
        <v>0</v>
      </c>
      <c r="P9" s="180"/>
      <c r="Q9" s="185" t="s">
        <v>1165</v>
      </c>
      <c r="R9" s="175">
        <f>VLOOKUP(R7,'ET 시간 배정'!$B$187:$E$377,3,0)</f>
        <v>0</v>
      </c>
      <c r="S9" s="175">
        <f>VLOOKUP(S7,'ET 시간 배정'!$B$187:$E$377,3,0)</f>
        <v>0</v>
      </c>
      <c r="T9" s="175">
        <f>VLOOKUP(T7,'ET 시간 배정'!$B$187:$E$377,3,0)</f>
        <v>0</v>
      </c>
      <c r="U9" s="175">
        <f>VLOOKUP(U7,'ET 시간 배정'!$B$187:$E$377,3,0)</f>
        <v>0</v>
      </c>
      <c r="V9" s="186">
        <f>VLOOKUP(V7,'ET 시간 배정'!$B$187:$E$377,3,0)</f>
        <v>0</v>
      </c>
    </row>
    <row r="10" spans="2:22" s="36" customFormat="1" x14ac:dyDescent="0.3">
      <c r="B10" s="185" t="s">
        <v>1166</v>
      </c>
      <c r="C10" s="181" t="s">
        <v>1174</v>
      </c>
      <c r="D10" s="181" t="s">
        <v>1181</v>
      </c>
      <c r="E10" s="181" t="s">
        <v>1188</v>
      </c>
      <c r="F10" s="181" t="s">
        <v>1195</v>
      </c>
      <c r="G10" s="181" t="s">
        <v>1358</v>
      </c>
      <c r="H10" s="181" t="s">
        <v>1365</v>
      </c>
      <c r="I10" s="180"/>
      <c r="J10" s="185" t="s">
        <v>1166</v>
      </c>
      <c r="K10" s="181" t="s">
        <v>1205</v>
      </c>
      <c r="L10" s="181" t="s">
        <v>1211</v>
      </c>
      <c r="M10" s="181" t="s">
        <v>1217</v>
      </c>
      <c r="N10" s="181" t="s">
        <v>1223</v>
      </c>
      <c r="O10" s="187" t="s">
        <v>1229</v>
      </c>
      <c r="P10" s="180"/>
      <c r="Q10" s="185" t="s">
        <v>1166</v>
      </c>
      <c r="R10" s="181" t="s">
        <v>1237</v>
      </c>
      <c r="S10" s="181" t="s">
        <v>1243</v>
      </c>
      <c r="T10" s="181" t="s">
        <v>1249</v>
      </c>
      <c r="U10" s="181" t="s">
        <v>1255</v>
      </c>
      <c r="V10" s="187" t="s">
        <v>1261</v>
      </c>
    </row>
    <row r="11" spans="2:22" s="36" customFormat="1" x14ac:dyDescent="0.3">
      <c r="B11" s="185" t="s">
        <v>1164</v>
      </c>
      <c r="C11" s="175">
        <f>VLOOKUP(C10,'ET 시간 배정'!$B$187:$E$377,2,0)</f>
        <v>0</v>
      </c>
      <c r="D11" s="175">
        <f>VLOOKUP(D10,'ET 시간 배정'!$B$187:$E$377,2,0)</f>
        <v>0</v>
      </c>
      <c r="E11" s="175">
        <f>VLOOKUP(E10,'ET 시간 배정'!$B$187:$E$377,2,0)</f>
        <v>0</v>
      </c>
      <c r="F11" s="175">
        <f>VLOOKUP(F10,'ET 시간 배정'!$B$187:$E$377,2,0)</f>
        <v>0</v>
      </c>
      <c r="G11" s="175">
        <f>VLOOKUP(G10,'ET 시간 배정'!$B$187:$E$377,2,0)</f>
        <v>0</v>
      </c>
      <c r="H11" s="175">
        <f>VLOOKUP(H10,'ET 시간 배정'!$B$187:$E$377,2,0)</f>
        <v>0</v>
      </c>
      <c r="I11" s="180"/>
      <c r="J11" s="185" t="s">
        <v>1164</v>
      </c>
      <c r="K11" s="175">
        <f>VLOOKUP(K10,'ET 시간 배정'!$B$187:$E$377,2,0)</f>
        <v>0</v>
      </c>
      <c r="L11" s="175">
        <f>VLOOKUP(L10,'ET 시간 배정'!$B$187:$E$377,2,0)</f>
        <v>0</v>
      </c>
      <c r="M11" s="175">
        <f>VLOOKUP(M10,'ET 시간 배정'!$B$187:$E$377,2,0)</f>
        <v>0</v>
      </c>
      <c r="N11" s="175">
        <f>VLOOKUP(N10,'ET 시간 배정'!$B$187:$E$377,2,0)</f>
        <v>0</v>
      </c>
      <c r="O11" s="186">
        <f>VLOOKUP(O10,'ET 시간 배정'!$B$187:$E$377,2,0)</f>
        <v>0</v>
      </c>
      <c r="P11" s="180"/>
      <c r="Q11" s="185" t="s">
        <v>1164</v>
      </c>
      <c r="R11" s="175">
        <f>VLOOKUP(R10,'ET 시간 배정'!$B$187:$E$377,2,0)</f>
        <v>0</v>
      </c>
      <c r="S11" s="175">
        <f>VLOOKUP(S10,'ET 시간 배정'!$B$187:$E$377,2,0)</f>
        <v>0</v>
      </c>
      <c r="T11" s="175">
        <f>VLOOKUP(T10,'ET 시간 배정'!$B$187:$E$377,2,0)</f>
        <v>0</v>
      </c>
      <c r="U11" s="175">
        <f>VLOOKUP(U10,'ET 시간 배정'!$B$187:$E$377,2,0)</f>
        <v>0</v>
      </c>
      <c r="V11" s="186">
        <f>VLOOKUP(V10,'ET 시간 배정'!$B$187:$E$377,2,0)</f>
        <v>0</v>
      </c>
    </row>
    <row r="12" spans="2:22" s="36" customFormat="1" x14ac:dyDescent="0.3">
      <c r="B12" s="185" t="s">
        <v>1165</v>
      </c>
      <c r="C12" s="175">
        <f>VLOOKUP(C10,'ET 시간 배정'!$B$187:$E$377,3,0)</f>
        <v>0</v>
      </c>
      <c r="D12" s="175">
        <f>VLOOKUP(D10,'ET 시간 배정'!$B$187:$E$377,3,0)</f>
        <v>0</v>
      </c>
      <c r="E12" s="175">
        <f>VLOOKUP(E10,'ET 시간 배정'!$B$187:$E$377,3,0)</f>
        <v>0</v>
      </c>
      <c r="F12" s="175">
        <f>VLOOKUP(F10,'ET 시간 배정'!$B$187:$E$377,3,0)</f>
        <v>0</v>
      </c>
      <c r="G12" s="175">
        <f>VLOOKUP(G10,'ET 시간 배정'!$B$187:$E$377,3,0)</f>
        <v>0</v>
      </c>
      <c r="H12" s="175">
        <f>VLOOKUP(H10,'ET 시간 배정'!$B$187:$E$377,3,0)</f>
        <v>0</v>
      </c>
      <c r="I12" s="180"/>
      <c r="J12" s="185" t="s">
        <v>1165</v>
      </c>
      <c r="K12" s="175">
        <f>VLOOKUP(K10,'ET 시간 배정'!$B$187:$E$377,3,0)</f>
        <v>0</v>
      </c>
      <c r="L12" s="175">
        <f>VLOOKUP(L10,'ET 시간 배정'!$B$187:$E$377,3,0)</f>
        <v>0</v>
      </c>
      <c r="M12" s="175">
        <f>VLOOKUP(M10,'ET 시간 배정'!$B$187:$E$377,3,0)</f>
        <v>0</v>
      </c>
      <c r="N12" s="175">
        <f>VLOOKUP(N10,'ET 시간 배정'!$B$187:$E$377,3,0)</f>
        <v>0</v>
      </c>
      <c r="O12" s="186">
        <f>VLOOKUP(O10,'ET 시간 배정'!$B$187:$E$377,3,0)</f>
        <v>0</v>
      </c>
      <c r="P12" s="180"/>
      <c r="Q12" s="185" t="s">
        <v>1165</v>
      </c>
      <c r="R12" s="175">
        <f>VLOOKUP(R10,'ET 시간 배정'!$B$187:$E$377,3,0)</f>
        <v>0</v>
      </c>
      <c r="S12" s="175">
        <f>VLOOKUP(S10,'ET 시간 배정'!$B$187:$E$377,3,0)</f>
        <v>0</v>
      </c>
      <c r="T12" s="175">
        <f>VLOOKUP(T10,'ET 시간 배정'!$B$187:$E$377,3,0)</f>
        <v>0</v>
      </c>
      <c r="U12" s="175">
        <f>VLOOKUP(U10,'ET 시간 배정'!$B$187:$E$377,3,0)</f>
        <v>0</v>
      </c>
      <c r="V12" s="186">
        <f>VLOOKUP(V10,'ET 시간 배정'!$B$187:$E$377,3,0)</f>
        <v>0</v>
      </c>
    </row>
    <row r="13" spans="2:22" s="36" customFormat="1" x14ac:dyDescent="0.3">
      <c r="B13" s="185" t="s">
        <v>1166</v>
      </c>
      <c r="C13" s="181" t="s">
        <v>1175</v>
      </c>
      <c r="D13" s="181" t="s">
        <v>1182</v>
      </c>
      <c r="E13" s="181" t="s">
        <v>1189</v>
      </c>
      <c r="F13" s="181" t="s">
        <v>1196</v>
      </c>
      <c r="G13" s="181" t="s">
        <v>1359</v>
      </c>
      <c r="H13" s="181" t="s">
        <v>1371</v>
      </c>
      <c r="I13" s="180"/>
      <c r="J13" s="185" t="s">
        <v>1166</v>
      </c>
      <c r="K13" s="181" t="s">
        <v>1206</v>
      </c>
      <c r="L13" s="181" t="s">
        <v>1212</v>
      </c>
      <c r="M13" s="181" t="s">
        <v>1218</v>
      </c>
      <c r="N13" s="181" t="s">
        <v>1224</v>
      </c>
      <c r="O13" s="187" t="s">
        <v>1230</v>
      </c>
      <c r="P13" s="180"/>
      <c r="Q13" s="185" t="s">
        <v>1166</v>
      </c>
      <c r="R13" s="181" t="s">
        <v>1238</v>
      </c>
      <c r="S13" s="181" t="s">
        <v>1244</v>
      </c>
      <c r="T13" s="181" t="s">
        <v>1250</v>
      </c>
      <c r="U13" s="181" t="s">
        <v>1256</v>
      </c>
      <c r="V13" s="187" t="s">
        <v>1262</v>
      </c>
    </row>
    <row r="14" spans="2:22" s="36" customFormat="1" x14ac:dyDescent="0.3">
      <c r="B14" s="185" t="s">
        <v>1164</v>
      </c>
      <c r="C14" s="175">
        <f>VLOOKUP(C13,'ET 시간 배정'!$B$187:$E$377,2,0)</f>
        <v>0</v>
      </c>
      <c r="D14" s="175">
        <f>VLOOKUP(D13,'ET 시간 배정'!$B$187:$E$377,2,0)</f>
        <v>0</v>
      </c>
      <c r="E14" s="175">
        <f>VLOOKUP(E13,'ET 시간 배정'!$B$187:$E$377,2,0)</f>
        <v>0</v>
      </c>
      <c r="F14" s="175">
        <f>VLOOKUP(F13,'ET 시간 배정'!$B$187:$E$377,2,0)</f>
        <v>0</v>
      </c>
      <c r="G14" s="175">
        <f>VLOOKUP(G13,'ET 시간 배정'!$B$187:$E$377,2,0)</f>
        <v>0</v>
      </c>
      <c r="H14" s="175">
        <f>VLOOKUP(H13,'ET 시간 배정'!$B$187:$E$377,2,0)</f>
        <v>0</v>
      </c>
      <c r="I14" s="180"/>
      <c r="J14" s="185" t="s">
        <v>1164</v>
      </c>
      <c r="K14" s="175">
        <f>VLOOKUP(K13,'ET 시간 배정'!$B$187:$E$377,2,0)</f>
        <v>0</v>
      </c>
      <c r="L14" s="175">
        <f>VLOOKUP(L13,'ET 시간 배정'!$B$187:$E$377,2,0)</f>
        <v>0</v>
      </c>
      <c r="M14" s="175">
        <f>VLOOKUP(M13,'ET 시간 배정'!$B$187:$E$377,2,0)</f>
        <v>0</v>
      </c>
      <c r="N14" s="175">
        <f>VLOOKUP(N13,'ET 시간 배정'!$B$187:$E$377,2,0)</f>
        <v>0</v>
      </c>
      <c r="O14" s="186">
        <f>VLOOKUP(O13,'ET 시간 배정'!$B$187:$E$377,2,0)</f>
        <v>0</v>
      </c>
      <c r="P14" s="180"/>
      <c r="Q14" s="185" t="s">
        <v>1164</v>
      </c>
      <c r="R14" s="175">
        <f>VLOOKUP(R13,'ET 시간 배정'!$B$187:$E$377,2,0)</f>
        <v>0</v>
      </c>
      <c r="S14" s="175">
        <f>VLOOKUP(S13,'ET 시간 배정'!$B$187:$E$377,2,0)</f>
        <v>0</v>
      </c>
      <c r="T14" s="175">
        <f>VLOOKUP(T13,'ET 시간 배정'!$B$187:$E$377,2,0)</f>
        <v>0</v>
      </c>
      <c r="U14" s="175">
        <f>VLOOKUP(U13,'ET 시간 배정'!$B$187:$E$377,2,0)</f>
        <v>0</v>
      </c>
      <c r="V14" s="186">
        <f>VLOOKUP(V13,'ET 시간 배정'!$B$187:$E$377,2,0)</f>
        <v>0</v>
      </c>
    </row>
    <row r="15" spans="2:22" s="36" customFormat="1" x14ac:dyDescent="0.3">
      <c r="B15" s="185" t="s">
        <v>1165</v>
      </c>
      <c r="C15" s="175">
        <f>VLOOKUP(C13,'ET 시간 배정'!$B$187:$E$377,3,0)</f>
        <v>0</v>
      </c>
      <c r="D15" s="175">
        <f>VLOOKUP(D13,'ET 시간 배정'!$B$187:$E$377,3,0)</f>
        <v>0</v>
      </c>
      <c r="E15" s="175">
        <f>VLOOKUP(E13,'ET 시간 배정'!$B$187:$E$377,3,0)</f>
        <v>0</v>
      </c>
      <c r="F15" s="175">
        <f>VLOOKUP(F13,'ET 시간 배정'!$B$187:$E$377,3,0)</f>
        <v>0</v>
      </c>
      <c r="G15" s="175">
        <f>VLOOKUP(G13,'ET 시간 배정'!$B$187:$E$377,3,0)</f>
        <v>0</v>
      </c>
      <c r="H15" s="175">
        <f>VLOOKUP(H13,'ET 시간 배정'!$B$187:$E$377,3,0)</f>
        <v>0</v>
      </c>
      <c r="I15" s="180"/>
      <c r="J15" s="185" t="s">
        <v>1165</v>
      </c>
      <c r="K15" s="175">
        <f>VLOOKUP(K13,'ET 시간 배정'!$B$187:$E$377,3,0)</f>
        <v>0</v>
      </c>
      <c r="L15" s="175">
        <f>VLOOKUP(L13,'ET 시간 배정'!$B$187:$E$377,3,0)</f>
        <v>0</v>
      </c>
      <c r="M15" s="175">
        <f>VLOOKUP(M13,'ET 시간 배정'!$B$187:$E$377,3,0)</f>
        <v>0</v>
      </c>
      <c r="N15" s="175">
        <f>VLOOKUP(N13,'ET 시간 배정'!$B$187:$E$377,3,0)</f>
        <v>0</v>
      </c>
      <c r="O15" s="186">
        <f>VLOOKUP(O13,'ET 시간 배정'!$B$187:$E$377,3,0)</f>
        <v>0</v>
      </c>
      <c r="P15" s="180"/>
      <c r="Q15" s="185" t="s">
        <v>1165</v>
      </c>
      <c r="R15" s="175">
        <f>VLOOKUP(R13,'ET 시간 배정'!$B$187:$E$377,3,0)</f>
        <v>0</v>
      </c>
      <c r="S15" s="175">
        <f>VLOOKUP(S13,'ET 시간 배정'!$B$187:$E$377,3,0)</f>
        <v>0</v>
      </c>
      <c r="T15" s="175">
        <f>VLOOKUP(T13,'ET 시간 배정'!$B$187:$E$377,3,0)</f>
        <v>0</v>
      </c>
      <c r="U15" s="175">
        <f>VLOOKUP(U13,'ET 시간 배정'!$B$187:$E$377,3,0)</f>
        <v>0</v>
      </c>
      <c r="V15" s="186">
        <f>VLOOKUP(V13,'ET 시간 배정'!$B$187:$E$377,3,0)</f>
        <v>0</v>
      </c>
    </row>
    <row r="16" spans="2:22" s="36" customFormat="1" x14ac:dyDescent="0.3">
      <c r="B16" s="185" t="s">
        <v>1166</v>
      </c>
      <c r="C16" s="181" t="s">
        <v>1176</v>
      </c>
      <c r="D16" s="181" t="s">
        <v>1183</v>
      </c>
      <c r="E16" s="181" t="s">
        <v>1368</v>
      </c>
      <c r="F16" s="181" t="s">
        <v>1197</v>
      </c>
      <c r="G16" s="181" t="s">
        <v>1360</v>
      </c>
      <c r="H16" s="181" t="s">
        <v>1372</v>
      </c>
      <c r="I16" s="180"/>
      <c r="J16" s="185" t="s">
        <v>1166</v>
      </c>
      <c r="K16" s="181" t="s">
        <v>1207</v>
      </c>
      <c r="L16" s="181" t="s">
        <v>1213</v>
      </c>
      <c r="M16" s="181" t="s">
        <v>1219</v>
      </c>
      <c r="N16" s="181" t="s">
        <v>1225</v>
      </c>
      <c r="O16" s="187" t="s">
        <v>1231</v>
      </c>
      <c r="P16" s="180"/>
      <c r="Q16" s="185" t="s">
        <v>1166</v>
      </c>
      <c r="R16" s="181" t="s">
        <v>1239</v>
      </c>
      <c r="S16" s="181" t="s">
        <v>1245</v>
      </c>
      <c r="T16" s="181" t="s">
        <v>1251</v>
      </c>
      <c r="U16" s="181" t="s">
        <v>1257</v>
      </c>
      <c r="V16" s="187" t="s">
        <v>1263</v>
      </c>
    </row>
    <row r="17" spans="2:22" s="36" customFormat="1" x14ac:dyDescent="0.3">
      <c r="B17" s="185" t="s">
        <v>1164</v>
      </c>
      <c r="C17" s="175">
        <f>VLOOKUP(C16,'ET 시간 배정'!$B$187:$E$377,2,0)</f>
        <v>0</v>
      </c>
      <c r="D17" s="175">
        <f>VLOOKUP(D16,'ET 시간 배정'!$B$187:$E$377,2,0)</f>
        <v>0</v>
      </c>
      <c r="E17" s="175">
        <f>VLOOKUP(E16,'ET 시간 배정'!$B$187:$E$377,2,0)</f>
        <v>0</v>
      </c>
      <c r="F17" s="175">
        <f>VLOOKUP(F16,'ET 시간 배정'!$B$187:$E$377,2,0)</f>
        <v>0</v>
      </c>
      <c r="G17" s="175">
        <f>VLOOKUP(G16,'ET 시간 배정'!$B$187:$E$377,2,0)</f>
        <v>0</v>
      </c>
      <c r="H17" s="175">
        <f>VLOOKUP(H16,'ET 시간 배정'!$B$187:$E$377,2,0)</f>
        <v>0</v>
      </c>
      <c r="I17" s="180"/>
      <c r="J17" s="185" t="s">
        <v>1164</v>
      </c>
      <c r="K17" s="175">
        <f>VLOOKUP(K16,'ET 시간 배정'!$B$187:$E$377,2,0)</f>
        <v>0</v>
      </c>
      <c r="L17" s="175">
        <f>VLOOKUP(L16,'ET 시간 배정'!$B$187:$E$377,2,0)</f>
        <v>0</v>
      </c>
      <c r="M17" s="175">
        <f>VLOOKUP(M16,'ET 시간 배정'!$B$187:$E$377,2,0)</f>
        <v>0</v>
      </c>
      <c r="N17" s="175">
        <f>VLOOKUP(N16,'ET 시간 배정'!$B$187:$E$377,2,0)</f>
        <v>0</v>
      </c>
      <c r="O17" s="186">
        <f>VLOOKUP(O16,'ET 시간 배정'!$B$187:$E$377,2,0)</f>
        <v>0</v>
      </c>
      <c r="P17" s="180"/>
      <c r="Q17" s="185" t="s">
        <v>1164</v>
      </c>
      <c r="R17" s="175">
        <f>VLOOKUP(R16,'ET 시간 배정'!$B$187:$E$377,2,0)</f>
        <v>0</v>
      </c>
      <c r="S17" s="175">
        <f>VLOOKUP(S16,'ET 시간 배정'!$B$187:$E$377,2,0)</f>
        <v>0</v>
      </c>
      <c r="T17" s="175">
        <f>VLOOKUP(T16,'ET 시간 배정'!$B$187:$E$377,2,0)</f>
        <v>0</v>
      </c>
      <c r="U17" s="175">
        <f>VLOOKUP(U16,'ET 시간 배정'!$B$187:$E$377,2,0)</f>
        <v>0</v>
      </c>
      <c r="V17" s="186">
        <f>VLOOKUP(V16,'ET 시간 배정'!$B$187:$E$377,2,0)</f>
        <v>0</v>
      </c>
    </row>
    <row r="18" spans="2:22" s="36" customFormat="1" x14ac:dyDescent="0.3">
      <c r="B18" s="185" t="s">
        <v>1165</v>
      </c>
      <c r="C18" s="175">
        <f>VLOOKUP(C16,'ET 시간 배정'!$B$187:$E$377,3,0)</f>
        <v>0</v>
      </c>
      <c r="D18" s="175">
        <f>VLOOKUP(D16,'ET 시간 배정'!$B$187:$E$377,3,0)</f>
        <v>0</v>
      </c>
      <c r="E18" s="175">
        <f>VLOOKUP(E16,'ET 시간 배정'!$B$187:$E$377,3,0)</f>
        <v>0</v>
      </c>
      <c r="F18" s="175">
        <f>VLOOKUP(F16,'ET 시간 배정'!$B$187:$E$377,3,0)</f>
        <v>0</v>
      </c>
      <c r="G18" s="175">
        <f>VLOOKUP(G16,'ET 시간 배정'!$B$187:$E$377,3,0)</f>
        <v>0</v>
      </c>
      <c r="H18" s="175">
        <f>VLOOKUP(H16,'ET 시간 배정'!$B$187:$E$377,3,0)</f>
        <v>0</v>
      </c>
      <c r="I18" s="180"/>
      <c r="J18" s="185" t="s">
        <v>1165</v>
      </c>
      <c r="K18" s="175">
        <f>VLOOKUP(K16,'ET 시간 배정'!$B$187:$E$377,3,0)</f>
        <v>0</v>
      </c>
      <c r="L18" s="175">
        <f>VLOOKUP(L16,'ET 시간 배정'!$B$187:$E$377,3,0)</f>
        <v>0</v>
      </c>
      <c r="M18" s="175">
        <f>VLOOKUP(M16,'ET 시간 배정'!$B$187:$E$377,3,0)</f>
        <v>0</v>
      </c>
      <c r="N18" s="175">
        <f>VLOOKUP(N16,'ET 시간 배정'!$B$187:$E$377,3,0)</f>
        <v>0</v>
      </c>
      <c r="O18" s="186">
        <f>VLOOKUP(O16,'ET 시간 배정'!$B$187:$E$377,3,0)</f>
        <v>0</v>
      </c>
      <c r="P18" s="180"/>
      <c r="Q18" s="185" t="s">
        <v>1165</v>
      </c>
      <c r="R18" s="175">
        <f>VLOOKUP(R16,'ET 시간 배정'!$B$187:$E$377,3,0)</f>
        <v>0</v>
      </c>
      <c r="S18" s="175">
        <f>VLOOKUP(S16,'ET 시간 배정'!$B$187:$E$377,3,0)</f>
        <v>0</v>
      </c>
      <c r="T18" s="175">
        <f>VLOOKUP(T16,'ET 시간 배정'!$B$187:$E$377,3,0)</f>
        <v>0</v>
      </c>
      <c r="U18" s="175">
        <f>VLOOKUP(U16,'ET 시간 배정'!$B$187:$E$377,3,0)</f>
        <v>0</v>
      </c>
      <c r="V18" s="186">
        <f>VLOOKUP(V16,'ET 시간 배정'!$B$187:$E$377,3,0)</f>
        <v>0</v>
      </c>
    </row>
    <row r="19" spans="2:22" s="36" customFormat="1" x14ac:dyDescent="0.3">
      <c r="B19" s="185" t="s">
        <v>1166</v>
      </c>
      <c r="C19" s="181" t="s">
        <v>1177</v>
      </c>
      <c r="D19" s="181" t="s">
        <v>1367</v>
      </c>
      <c r="E19" s="181" t="s">
        <v>1369</v>
      </c>
      <c r="F19" s="181" t="s">
        <v>1198</v>
      </c>
      <c r="G19" s="181" t="s">
        <v>1361</v>
      </c>
      <c r="H19" s="181" t="s">
        <v>1373</v>
      </c>
      <c r="I19" s="180"/>
      <c r="J19" s="185" t="s">
        <v>1166</v>
      </c>
      <c r="K19" s="181" t="s">
        <v>1208</v>
      </c>
      <c r="L19" s="181" t="s">
        <v>1214</v>
      </c>
      <c r="M19" s="181" t="s">
        <v>1220</v>
      </c>
      <c r="N19" s="181" t="s">
        <v>1226</v>
      </c>
      <c r="O19" s="187" t="s">
        <v>1232</v>
      </c>
      <c r="P19" s="180"/>
      <c r="Q19" s="185" t="s">
        <v>1166</v>
      </c>
      <c r="R19" s="181" t="s">
        <v>1240</v>
      </c>
      <c r="S19" s="181" t="s">
        <v>1246</v>
      </c>
      <c r="T19" s="181" t="s">
        <v>1252</v>
      </c>
      <c r="U19" s="181" t="s">
        <v>1258</v>
      </c>
      <c r="V19" s="187" t="s">
        <v>1264</v>
      </c>
    </row>
    <row r="20" spans="2:22" x14ac:dyDescent="0.3">
      <c r="B20" s="185" t="s">
        <v>1164</v>
      </c>
      <c r="C20" s="175">
        <f>VLOOKUP(C19,'ET 시간 배정'!$B$187:$E$377,2,0)</f>
        <v>0</v>
      </c>
      <c r="D20" s="175">
        <f>VLOOKUP(D19,'ET 시간 배정'!$B$187:$E$377,2,0)</f>
        <v>0</v>
      </c>
      <c r="E20" s="175">
        <f>VLOOKUP(E19,'ET 시간 배정'!$B$187:$E$377,2,0)</f>
        <v>0</v>
      </c>
      <c r="F20" s="175">
        <f>VLOOKUP(F19,'ET 시간 배정'!$B$187:$E$377,2,0)</f>
        <v>0</v>
      </c>
      <c r="G20" s="175">
        <f>VLOOKUP(G19,'ET 시간 배정'!$B$187:$E$377,2,0)</f>
        <v>0</v>
      </c>
      <c r="H20" s="175">
        <f>VLOOKUP(H19,'ET 시간 배정'!$B$187:$E$377,2,0)</f>
        <v>0</v>
      </c>
      <c r="I20" s="180"/>
      <c r="J20" s="185" t="s">
        <v>1164</v>
      </c>
      <c r="K20" s="175">
        <f>VLOOKUP(K19,'ET 시간 배정'!$B$187:$E$377,2,0)</f>
        <v>0</v>
      </c>
      <c r="L20" s="175">
        <f>VLOOKUP(L19,'ET 시간 배정'!$B$187:$E$377,2,0)</f>
        <v>0</v>
      </c>
      <c r="M20" s="175">
        <f>VLOOKUP(M19,'ET 시간 배정'!$B$187:$E$377,2,0)</f>
        <v>0</v>
      </c>
      <c r="N20" s="175">
        <f>VLOOKUP(N19,'ET 시간 배정'!$B$187:$E$377,2,0)</f>
        <v>0</v>
      </c>
      <c r="O20" s="186">
        <f>VLOOKUP(O19,'ET 시간 배정'!$B$187:$E$377,2,0)</f>
        <v>0</v>
      </c>
      <c r="P20" s="180"/>
      <c r="Q20" s="185" t="s">
        <v>1164</v>
      </c>
      <c r="R20" s="175">
        <f>VLOOKUP(R19,'ET 시간 배정'!$B$187:$E$377,2,0)</f>
        <v>0</v>
      </c>
      <c r="S20" s="175">
        <f>VLOOKUP(S19,'ET 시간 배정'!$B$187:$E$377,2,0)</f>
        <v>0</v>
      </c>
      <c r="T20" s="175">
        <f>VLOOKUP(T19,'ET 시간 배정'!$B$187:$E$377,2,0)</f>
        <v>0</v>
      </c>
      <c r="U20" s="175">
        <f>VLOOKUP(U19,'ET 시간 배정'!$B$187:$E$377,2,0)</f>
        <v>0</v>
      </c>
      <c r="V20" s="186">
        <f>VLOOKUP(V19,'ET 시간 배정'!$B$187:$E$377,2,0)</f>
        <v>0</v>
      </c>
    </row>
    <row r="21" spans="2:22" s="36" customFormat="1" ht="17.25" thickBot="1" x14ac:dyDescent="0.35">
      <c r="B21" s="185" t="s">
        <v>1165</v>
      </c>
      <c r="C21" s="175">
        <f>VLOOKUP(C19,'ET 시간 배정'!$B$187:$E$377,3,0)</f>
        <v>0</v>
      </c>
      <c r="D21" s="175">
        <f>VLOOKUP(D19,'ET 시간 배정'!$B$187:$E$377,3,0)</f>
        <v>0</v>
      </c>
      <c r="E21" s="175">
        <f>VLOOKUP(E19,'ET 시간 배정'!$B$187:$E$377,3,0)</f>
        <v>0</v>
      </c>
      <c r="F21" s="175">
        <f>VLOOKUP(F19,'ET 시간 배정'!$B$187:$E$377,3,0)</f>
        <v>0</v>
      </c>
      <c r="G21" s="175">
        <f>VLOOKUP(G19,'ET 시간 배정'!$B$187:$E$377,3,0)</f>
        <v>0</v>
      </c>
      <c r="H21" s="175">
        <f>VLOOKUP(H19,'ET 시간 배정'!$B$187:$E$377,3,0)</f>
        <v>0</v>
      </c>
      <c r="I21" s="180"/>
      <c r="J21" s="188" t="s">
        <v>1165</v>
      </c>
      <c r="K21" s="189">
        <f>VLOOKUP(K19,'ET 시간 배정'!$B$187:$E$377,3,0)</f>
        <v>0</v>
      </c>
      <c r="L21" s="189">
        <f>VLOOKUP(L19,'ET 시간 배정'!$B$187:$E$377,3,0)</f>
        <v>0</v>
      </c>
      <c r="M21" s="189">
        <f>VLOOKUP(M19,'ET 시간 배정'!$B$187:$E$377,3,0)</f>
        <v>0</v>
      </c>
      <c r="N21" s="189">
        <f>VLOOKUP(N19,'ET 시간 배정'!$B$187:$E$377,3,0)</f>
        <v>0</v>
      </c>
      <c r="O21" s="190">
        <f>VLOOKUP(O19,'ET 시간 배정'!$B$187:$E$377,3,0)</f>
        <v>0</v>
      </c>
      <c r="P21" s="180"/>
      <c r="Q21" s="188" t="s">
        <v>1165</v>
      </c>
      <c r="R21" s="189">
        <f>VLOOKUP(R19,'ET 시간 배정'!$B$187:$E$377,3,0)</f>
        <v>0</v>
      </c>
      <c r="S21" s="189">
        <f>VLOOKUP(S19,'ET 시간 배정'!$B$187:$E$377,3,0)</f>
        <v>0</v>
      </c>
      <c r="T21" s="189">
        <f>VLOOKUP(T19,'ET 시간 배정'!$B$187:$E$377,3,0)</f>
        <v>0</v>
      </c>
      <c r="U21" s="189">
        <f>VLOOKUP(U19,'ET 시간 배정'!$B$187:$E$377,3,0)</f>
        <v>0</v>
      </c>
      <c r="V21" s="190">
        <f>VLOOKUP(V19,'ET 시간 배정'!$B$187:$E$377,3,0)</f>
        <v>0</v>
      </c>
    </row>
    <row r="22" spans="2:22" s="36" customFormat="1" x14ac:dyDescent="0.3">
      <c r="B22" s="185" t="s">
        <v>1166</v>
      </c>
      <c r="C22" s="181" t="s">
        <v>1178</v>
      </c>
      <c r="D22" s="181" t="s">
        <v>1185</v>
      </c>
      <c r="E22" s="181" t="s">
        <v>1370</v>
      </c>
      <c r="F22" s="183" t="s">
        <v>1199</v>
      </c>
      <c r="G22" s="181" t="s">
        <v>1362</v>
      </c>
      <c r="H22" s="181" t="s">
        <v>1374</v>
      </c>
      <c r="I22" s="180"/>
      <c r="J22" s="192"/>
      <c r="K22" s="191"/>
      <c r="L22" s="191"/>
      <c r="M22" s="191"/>
      <c r="N22" s="191"/>
      <c r="O22" s="191"/>
      <c r="P22" s="180"/>
      <c r="Q22" s="194"/>
      <c r="R22" s="191"/>
      <c r="S22" s="191"/>
      <c r="T22" s="191"/>
      <c r="U22" s="191"/>
      <c r="V22" s="191"/>
    </row>
    <row r="23" spans="2:22" s="36" customFormat="1" x14ac:dyDescent="0.3">
      <c r="B23" s="185" t="s">
        <v>1164</v>
      </c>
      <c r="C23" s="175">
        <f>VLOOKUP(C22,'ET 시간 배정'!$B$187:$E$377,2,0)</f>
        <v>0</v>
      </c>
      <c r="D23" s="175">
        <f>VLOOKUP(D22,'ET 시간 배정'!$B$187:$E$377,2,0)</f>
        <v>0</v>
      </c>
      <c r="E23" s="175">
        <f>VLOOKUP(E22,'ET 시간 배정'!$B$187:$E$377,2,0)</f>
        <v>0</v>
      </c>
      <c r="F23" s="175">
        <f>VLOOKUP(F22,'ET 시간 배정'!$B$187:$E$377,2,0)</f>
        <v>0</v>
      </c>
      <c r="G23" s="175">
        <f>VLOOKUP(G22,'ET 시간 배정'!$B$187:$E$377,2,0)</f>
        <v>0</v>
      </c>
      <c r="H23" s="175"/>
      <c r="I23" s="180"/>
      <c r="J23" s="192"/>
      <c r="K23" s="191"/>
      <c r="L23" s="191"/>
      <c r="M23" s="191"/>
      <c r="N23" s="191"/>
      <c r="O23" s="191"/>
      <c r="P23" s="180"/>
      <c r="Q23" s="194"/>
      <c r="R23" s="191"/>
      <c r="S23" s="191"/>
      <c r="T23" s="191"/>
      <c r="U23" s="191"/>
      <c r="V23" s="191"/>
    </row>
    <row r="24" spans="2:22" s="36" customFormat="1" ht="17.25" thickBot="1" x14ac:dyDescent="0.35">
      <c r="B24" s="188" t="s">
        <v>1165</v>
      </c>
      <c r="C24" s="175">
        <f>VLOOKUP(C22,'ET 시간 배정'!$B$187:$E$377,3,0)</f>
        <v>0</v>
      </c>
      <c r="D24" s="175">
        <f>VLOOKUP(D22,'ET 시간 배정'!$B$187:$E$377,3,0)</f>
        <v>0</v>
      </c>
      <c r="E24" s="175">
        <f>VLOOKUP(E22,'ET 시간 배정'!$B$187:$E$377,3,0)</f>
        <v>0</v>
      </c>
      <c r="F24" s="175">
        <f>VLOOKUP(F22,'ET 시간 배정'!$B$187:$E$377,3,0)</f>
        <v>0</v>
      </c>
      <c r="G24" s="175">
        <f>VLOOKUP(G22,'ET 시간 배정'!$B$187:$E$377,3,0)</f>
        <v>0</v>
      </c>
      <c r="H24" s="175"/>
      <c r="I24" s="180"/>
      <c r="J24" s="192"/>
      <c r="K24" s="191"/>
      <c r="L24" s="191"/>
      <c r="M24" s="191"/>
      <c r="N24" s="191"/>
      <c r="O24" s="191"/>
      <c r="P24" s="180"/>
      <c r="Q24" s="194"/>
      <c r="R24" s="191"/>
      <c r="S24" s="191"/>
      <c r="T24" s="191"/>
      <c r="U24" s="191"/>
      <c r="V24" s="191"/>
    </row>
    <row r="25" spans="2:22" s="36" customFormat="1" ht="17.25" thickBot="1" x14ac:dyDescent="0.35">
      <c r="B25" s="180"/>
      <c r="C25" s="180"/>
      <c r="D25" s="180"/>
      <c r="E25" s="180"/>
      <c r="F25" s="180"/>
      <c r="G25" s="180"/>
      <c r="H25" s="180"/>
      <c r="I25" s="180"/>
      <c r="J25" s="193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</row>
    <row r="26" spans="2:22" s="36" customFormat="1" x14ac:dyDescent="0.3">
      <c r="B26" s="180"/>
      <c r="C26" s="180"/>
      <c r="D26" s="555" t="s">
        <v>1169</v>
      </c>
      <c r="E26" s="556"/>
      <c r="F26" s="180"/>
      <c r="G26" s="180"/>
      <c r="H26" s="180"/>
      <c r="I26" s="180"/>
      <c r="J26" s="180"/>
      <c r="K26" s="180"/>
      <c r="L26" s="555" t="s">
        <v>1170</v>
      </c>
      <c r="M26" s="556"/>
      <c r="N26" s="180"/>
      <c r="O26" s="180"/>
      <c r="P26" s="180"/>
      <c r="Q26" s="180"/>
      <c r="R26" s="180"/>
      <c r="S26" s="555" t="s">
        <v>1171</v>
      </c>
      <c r="T26" s="556"/>
      <c r="U26" s="180"/>
      <c r="V26" s="180"/>
    </row>
    <row r="27" spans="2:22" s="36" customFormat="1" ht="17.25" thickBot="1" x14ac:dyDescent="0.35">
      <c r="B27" s="180"/>
      <c r="C27" s="180"/>
      <c r="D27" s="557"/>
      <c r="E27" s="558"/>
      <c r="F27" s="180"/>
      <c r="G27" s="180"/>
      <c r="H27" s="180"/>
      <c r="I27" s="180"/>
      <c r="J27" s="180"/>
      <c r="K27" s="180"/>
      <c r="L27" s="557"/>
      <c r="M27" s="558"/>
      <c r="N27" s="180"/>
      <c r="O27" s="180"/>
      <c r="P27" s="180"/>
      <c r="Q27" s="180"/>
      <c r="R27" s="180"/>
      <c r="S27" s="557"/>
      <c r="T27" s="558"/>
      <c r="U27" s="180"/>
      <c r="V27" s="180"/>
    </row>
    <row r="28" spans="2:22" s="36" customFormat="1" x14ac:dyDescent="0.3">
      <c r="B28" s="182" t="s">
        <v>1166</v>
      </c>
      <c r="C28" s="183" t="s">
        <v>1265</v>
      </c>
      <c r="D28" s="183" t="s">
        <v>1272</v>
      </c>
      <c r="E28" s="183" t="s">
        <v>1278</v>
      </c>
      <c r="F28" s="183" t="s">
        <v>1284</v>
      </c>
      <c r="G28" s="184" t="s">
        <v>1290</v>
      </c>
      <c r="H28" s="194"/>
      <c r="I28" s="180"/>
      <c r="J28" s="182" t="s">
        <v>1166</v>
      </c>
      <c r="K28" s="183" t="s">
        <v>1296</v>
      </c>
      <c r="L28" s="183" t="s">
        <v>1303</v>
      </c>
      <c r="M28" s="183" t="s">
        <v>1309</v>
      </c>
      <c r="N28" s="183" t="s">
        <v>1315</v>
      </c>
      <c r="O28" s="184" t="s">
        <v>1321</v>
      </c>
      <c r="P28" s="180"/>
      <c r="Q28" s="182" t="s">
        <v>1166</v>
      </c>
      <c r="R28" s="183" t="s">
        <v>1327</v>
      </c>
      <c r="S28" s="183" t="s">
        <v>1334</v>
      </c>
      <c r="T28" s="183" t="s">
        <v>1340</v>
      </c>
      <c r="U28" s="183" t="s">
        <v>1346</v>
      </c>
      <c r="V28" s="184" t="s">
        <v>1352</v>
      </c>
    </row>
    <row r="29" spans="2:22" s="36" customFormat="1" x14ac:dyDescent="0.3">
      <c r="B29" s="185" t="s">
        <v>1164</v>
      </c>
      <c r="C29" s="175">
        <f>VLOOKUP(C28,'ET 시간 배정'!$B$187:$E$377,2,0)</f>
        <v>0</v>
      </c>
      <c r="D29" s="175">
        <f>VLOOKUP(D28,'ET 시간 배정'!$B$187:$E$377,2,0)</f>
        <v>0</v>
      </c>
      <c r="E29" s="175">
        <f>VLOOKUP(E28,'ET 시간 배정'!$B$187:$E$377,2,0)</f>
        <v>0</v>
      </c>
      <c r="F29" s="175">
        <f>VLOOKUP(F28,'ET 시간 배정'!$B$187:$E$377,2,0)</f>
        <v>0</v>
      </c>
      <c r="G29" s="186">
        <f>VLOOKUP(G28,'ET 시간 배정'!$B$187:$E$377,2,0)</f>
        <v>0</v>
      </c>
      <c r="H29" s="194"/>
      <c r="I29" s="180"/>
      <c r="J29" s="185" t="s">
        <v>1164</v>
      </c>
      <c r="K29" s="175">
        <f>VLOOKUP(K28,'ET 시간 배정'!$B$187:$E$377,2,0)</f>
        <v>0</v>
      </c>
      <c r="L29" s="175">
        <f>VLOOKUP(L28,'ET 시간 배정'!$B$187:$E$377,2,0)</f>
        <v>0</v>
      </c>
      <c r="M29" s="175">
        <f>VLOOKUP(M28,'ET 시간 배정'!$B$187:$E$377,2,0)</f>
        <v>0</v>
      </c>
      <c r="N29" s="175">
        <f>VLOOKUP(N28,'ET 시간 배정'!$B$187:$E$377,2,0)</f>
        <v>0</v>
      </c>
      <c r="O29" s="186">
        <f>VLOOKUP(O28,'ET 시간 배정'!$B$187:$E$377,2,0)</f>
        <v>0</v>
      </c>
      <c r="P29" s="180"/>
      <c r="Q29" s="185" t="s">
        <v>1164</v>
      </c>
      <c r="R29" s="175">
        <f>VLOOKUP(R28,'ET 시간 배정'!$B$187:$E$377,2,0)</f>
        <v>0</v>
      </c>
      <c r="S29" s="175">
        <f>VLOOKUP(S28,'ET 시간 배정'!$B$187:$E$377,2,0)</f>
        <v>0</v>
      </c>
      <c r="T29" s="175">
        <f>VLOOKUP(T28,'ET 시간 배정'!$B$187:$E$377,2,0)</f>
        <v>0</v>
      </c>
      <c r="U29" s="175">
        <f>VLOOKUP(U28,'ET 시간 배정'!$B$187:$E$377,2,0)</f>
        <v>0</v>
      </c>
      <c r="V29" s="186">
        <f>VLOOKUP(V28,'ET 시간 배정'!$B$187:$E$377,2,0)</f>
        <v>0</v>
      </c>
    </row>
    <row r="30" spans="2:22" s="36" customFormat="1" x14ac:dyDescent="0.3">
      <c r="B30" s="185" t="s">
        <v>1165</v>
      </c>
      <c r="C30" s="175">
        <f>VLOOKUP(C28,'ET 시간 배정'!$B$187:$E$377,3,0)</f>
        <v>0</v>
      </c>
      <c r="D30" s="175">
        <f>VLOOKUP(D28,'ET 시간 배정'!$B$187:$E$377,3,0)</f>
        <v>0</v>
      </c>
      <c r="E30" s="175">
        <f>VLOOKUP(E28,'ET 시간 배정'!$B$187:$E$377,3,0)</f>
        <v>0</v>
      </c>
      <c r="F30" s="175">
        <f>VLOOKUP(F28,'ET 시간 배정'!$B$187:$E$377,3,0)</f>
        <v>0</v>
      </c>
      <c r="G30" s="186">
        <f>VLOOKUP(G28,'ET 시간 배정'!$B$187:$E$377,3,0)</f>
        <v>0</v>
      </c>
      <c r="H30" s="194"/>
      <c r="I30" s="180"/>
      <c r="J30" s="185" t="s">
        <v>1165</v>
      </c>
      <c r="K30" s="175">
        <f>VLOOKUP(K28,'ET 시간 배정'!$B$187:$E$377,3,0)</f>
        <v>0</v>
      </c>
      <c r="L30" s="175">
        <f>VLOOKUP(L28,'ET 시간 배정'!$B$187:$E$377,3,0)</f>
        <v>0</v>
      </c>
      <c r="M30" s="175">
        <f>VLOOKUP(M28,'ET 시간 배정'!$B$187:$E$377,3,0)</f>
        <v>0</v>
      </c>
      <c r="N30" s="175">
        <f>VLOOKUP(N28,'ET 시간 배정'!$B$187:$E$377,3,0)</f>
        <v>0</v>
      </c>
      <c r="O30" s="186">
        <f>VLOOKUP(O28,'ET 시간 배정'!$B$187:$E$377,3,0)</f>
        <v>0</v>
      </c>
      <c r="P30" s="180"/>
      <c r="Q30" s="185" t="s">
        <v>1165</v>
      </c>
      <c r="R30" s="175">
        <f>VLOOKUP(R28,'ET 시간 배정'!$B$187:$E$377,3,0)</f>
        <v>0</v>
      </c>
      <c r="S30" s="175">
        <f>VLOOKUP(S28,'ET 시간 배정'!$B$187:$E$377,3,0)</f>
        <v>0</v>
      </c>
      <c r="T30" s="175">
        <f>VLOOKUP(T28,'ET 시간 배정'!$B$187:$E$377,3,0)</f>
        <v>0</v>
      </c>
      <c r="U30" s="175">
        <f>VLOOKUP(U28,'ET 시간 배정'!$B$187:$E$377,3,0)</f>
        <v>0</v>
      </c>
      <c r="V30" s="186">
        <f>VLOOKUP(V28,'ET 시간 배정'!$B$187:$E$377,3,0)</f>
        <v>0</v>
      </c>
    </row>
    <row r="31" spans="2:22" s="36" customFormat="1" x14ac:dyDescent="0.3">
      <c r="B31" s="185" t="s">
        <v>1166</v>
      </c>
      <c r="C31" s="181" t="s">
        <v>1267</v>
      </c>
      <c r="D31" s="181" t="s">
        <v>1273</v>
      </c>
      <c r="E31" s="181" t="s">
        <v>1279</v>
      </c>
      <c r="F31" s="181" t="s">
        <v>1285</v>
      </c>
      <c r="G31" s="187" t="s">
        <v>1291</v>
      </c>
      <c r="H31" s="194"/>
      <c r="I31" s="180"/>
      <c r="J31" s="185" t="s">
        <v>1166</v>
      </c>
      <c r="K31" s="181" t="s">
        <v>1298</v>
      </c>
      <c r="L31" s="181" t="s">
        <v>1304</v>
      </c>
      <c r="M31" s="181" t="s">
        <v>1310</v>
      </c>
      <c r="N31" s="181" t="s">
        <v>1316</v>
      </c>
      <c r="O31" s="187" t="s">
        <v>1322</v>
      </c>
      <c r="P31" s="180"/>
      <c r="Q31" s="185" t="s">
        <v>1166</v>
      </c>
      <c r="R31" s="181" t="s">
        <v>1329</v>
      </c>
      <c r="S31" s="181" t="s">
        <v>1335</v>
      </c>
      <c r="T31" s="181" t="s">
        <v>1341</v>
      </c>
      <c r="U31" s="181" t="s">
        <v>1347</v>
      </c>
      <c r="V31" s="187" t="s">
        <v>1353</v>
      </c>
    </row>
    <row r="32" spans="2:22" s="36" customFormat="1" x14ac:dyDescent="0.3">
      <c r="B32" s="185" t="s">
        <v>1164</v>
      </c>
      <c r="C32" s="175">
        <f>VLOOKUP(C31,'ET 시간 배정'!$B$187:$E$377,2,0)</f>
        <v>0</v>
      </c>
      <c r="D32" s="175">
        <f>VLOOKUP(D31,'ET 시간 배정'!$B$187:$E$377,2,0)</f>
        <v>0</v>
      </c>
      <c r="E32" s="175">
        <f>VLOOKUP(E31,'ET 시간 배정'!$B$187:$E$377,2,0)</f>
        <v>0</v>
      </c>
      <c r="F32" s="175">
        <f>VLOOKUP(F31,'ET 시간 배정'!$B$187:$E$377,2,0)</f>
        <v>0</v>
      </c>
      <c r="G32" s="186">
        <f>VLOOKUP(G31,'ET 시간 배정'!$B$187:$E$377,2,0)</f>
        <v>0</v>
      </c>
      <c r="H32" s="194"/>
      <c r="I32" s="180"/>
      <c r="J32" s="185" t="s">
        <v>1164</v>
      </c>
      <c r="K32" s="175">
        <f>VLOOKUP(K31,'ET 시간 배정'!$B$187:$E$377,2,0)</f>
        <v>0</v>
      </c>
      <c r="L32" s="175">
        <f>VLOOKUP(L31,'ET 시간 배정'!$B$187:$E$377,2,0)</f>
        <v>0</v>
      </c>
      <c r="M32" s="175">
        <f>VLOOKUP(M31,'ET 시간 배정'!$B$187:$E$377,2,0)</f>
        <v>0</v>
      </c>
      <c r="N32" s="175">
        <f>VLOOKUP(N31,'ET 시간 배정'!$B$187:$E$377,2,0)</f>
        <v>0</v>
      </c>
      <c r="O32" s="186">
        <f>VLOOKUP(O31,'ET 시간 배정'!$B$187:$E$377,2,0)</f>
        <v>0</v>
      </c>
      <c r="P32" s="180"/>
      <c r="Q32" s="185" t="s">
        <v>1164</v>
      </c>
      <c r="R32" s="175">
        <f>VLOOKUP(R31,'ET 시간 배정'!$B$187:$E$377,2,0)</f>
        <v>0</v>
      </c>
      <c r="S32" s="175">
        <f>VLOOKUP(S31,'ET 시간 배정'!$B$187:$E$377,2,0)</f>
        <v>0</v>
      </c>
      <c r="T32" s="175">
        <f>VLOOKUP(T31,'ET 시간 배정'!$B$187:$E$377,2,0)</f>
        <v>0</v>
      </c>
      <c r="U32" s="175">
        <f>VLOOKUP(U31,'ET 시간 배정'!$B$187:$E$377,2,0)</f>
        <v>0</v>
      </c>
      <c r="V32" s="186">
        <f>VLOOKUP(V31,'ET 시간 배정'!$B$187:$E$377,2,0)</f>
        <v>0</v>
      </c>
    </row>
    <row r="33" spans="2:22" s="36" customFormat="1" x14ac:dyDescent="0.3">
      <c r="B33" s="185" t="s">
        <v>1165</v>
      </c>
      <c r="C33" s="175">
        <f>VLOOKUP(C31,'ET 시간 배정'!$B$187:$E$377,3,0)</f>
        <v>0</v>
      </c>
      <c r="D33" s="175">
        <f>VLOOKUP(D31,'ET 시간 배정'!$B$187:$E$377,3,0)</f>
        <v>0</v>
      </c>
      <c r="E33" s="175">
        <f>VLOOKUP(E31,'ET 시간 배정'!$B$187:$E$377,3,0)</f>
        <v>0</v>
      </c>
      <c r="F33" s="175">
        <f>VLOOKUP(F31,'ET 시간 배정'!$B$187:$E$377,3,0)</f>
        <v>0</v>
      </c>
      <c r="G33" s="186">
        <f>VLOOKUP(G31,'ET 시간 배정'!$B$187:$E$377,3,0)</f>
        <v>0</v>
      </c>
      <c r="H33" s="194"/>
      <c r="I33" s="180"/>
      <c r="J33" s="185" t="s">
        <v>1165</v>
      </c>
      <c r="K33" s="175">
        <f>VLOOKUP(K31,'ET 시간 배정'!$B$187:$E$377,3,0)</f>
        <v>0</v>
      </c>
      <c r="L33" s="175">
        <f>VLOOKUP(L31,'ET 시간 배정'!$B$187:$E$377,3,0)</f>
        <v>0</v>
      </c>
      <c r="M33" s="175">
        <f>VLOOKUP(M31,'ET 시간 배정'!$B$187:$E$377,3,0)</f>
        <v>0</v>
      </c>
      <c r="N33" s="175">
        <f>VLOOKUP(N31,'ET 시간 배정'!$B$187:$E$377,3,0)</f>
        <v>0</v>
      </c>
      <c r="O33" s="186">
        <f>VLOOKUP(O31,'ET 시간 배정'!$B$187:$E$377,3,0)</f>
        <v>0</v>
      </c>
      <c r="P33" s="180"/>
      <c r="Q33" s="185" t="s">
        <v>1165</v>
      </c>
      <c r="R33" s="175">
        <f>VLOOKUP(R31,'ET 시간 배정'!$B$187:$E$377,3,0)</f>
        <v>0</v>
      </c>
      <c r="S33" s="175">
        <f>VLOOKUP(S31,'ET 시간 배정'!$B$187:$E$377,3,0)</f>
        <v>0</v>
      </c>
      <c r="T33" s="175">
        <f>VLOOKUP(T31,'ET 시간 배정'!$B$187:$E$377,3,0)</f>
        <v>0</v>
      </c>
      <c r="U33" s="175">
        <f>VLOOKUP(U31,'ET 시간 배정'!$B$187:$E$377,3,0)</f>
        <v>0</v>
      </c>
      <c r="V33" s="186">
        <f>VLOOKUP(V31,'ET 시간 배정'!$B$187:$E$377,3,0)</f>
        <v>0</v>
      </c>
    </row>
    <row r="34" spans="2:22" s="36" customFormat="1" x14ac:dyDescent="0.3">
      <c r="B34" s="185" t="s">
        <v>1166</v>
      </c>
      <c r="C34" s="181" t="s">
        <v>1268</v>
      </c>
      <c r="D34" s="181" t="s">
        <v>1274</v>
      </c>
      <c r="E34" s="181" t="s">
        <v>1280</v>
      </c>
      <c r="F34" s="181" t="s">
        <v>1286</v>
      </c>
      <c r="G34" s="187" t="s">
        <v>1292</v>
      </c>
      <c r="H34" s="194"/>
      <c r="I34" s="180"/>
      <c r="J34" s="185" t="s">
        <v>1166</v>
      </c>
      <c r="K34" s="181" t="s">
        <v>1299</v>
      </c>
      <c r="L34" s="181" t="s">
        <v>1305</v>
      </c>
      <c r="M34" s="181" t="s">
        <v>1311</v>
      </c>
      <c r="N34" s="181" t="s">
        <v>1317</v>
      </c>
      <c r="O34" s="187" t="s">
        <v>1323</v>
      </c>
      <c r="P34" s="180"/>
      <c r="Q34" s="185" t="s">
        <v>1166</v>
      </c>
      <c r="R34" s="181" t="s">
        <v>1330</v>
      </c>
      <c r="S34" s="181" t="s">
        <v>1336</v>
      </c>
      <c r="T34" s="181" t="s">
        <v>1342</v>
      </c>
      <c r="U34" s="181" t="s">
        <v>1348</v>
      </c>
      <c r="V34" s="187" t="s">
        <v>1354</v>
      </c>
    </row>
    <row r="35" spans="2:22" s="36" customFormat="1" x14ac:dyDescent="0.3">
      <c r="B35" s="185" t="s">
        <v>1164</v>
      </c>
      <c r="C35" s="175">
        <f>VLOOKUP(C34,'ET 시간 배정'!$B$187:$E$377,2,0)</f>
        <v>0</v>
      </c>
      <c r="D35" s="175">
        <f>VLOOKUP(D34,'ET 시간 배정'!$B$187:$E$377,2,0)</f>
        <v>0</v>
      </c>
      <c r="E35" s="175">
        <f>VLOOKUP(E34,'ET 시간 배정'!$B$187:$E$377,2,0)</f>
        <v>0</v>
      </c>
      <c r="F35" s="175">
        <f>VLOOKUP(F34,'ET 시간 배정'!$B$187:$E$377,2,0)</f>
        <v>0</v>
      </c>
      <c r="G35" s="186">
        <f>VLOOKUP(G34,'ET 시간 배정'!$B$187:$E$377,2,0)</f>
        <v>0</v>
      </c>
      <c r="H35" s="194"/>
      <c r="I35" s="180"/>
      <c r="J35" s="185" t="s">
        <v>1164</v>
      </c>
      <c r="K35" s="175">
        <f>VLOOKUP(K34,'ET 시간 배정'!$B$187:$E$377,2,0)</f>
        <v>0</v>
      </c>
      <c r="L35" s="175">
        <f>VLOOKUP(L34,'ET 시간 배정'!$B$187:$E$377,2,0)</f>
        <v>0</v>
      </c>
      <c r="M35" s="175">
        <f>VLOOKUP(M34,'ET 시간 배정'!$B$187:$E$377,2,0)</f>
        <v>0</v>
      </c>
      <c r="N35" s="175">
        <f>VLOOKUP(N34,'ET 시간 배정'!$B$187:$E$377,2,0)</f>
        <v>0</v>
      </c>
      <c r="O35" s="186">
        <f>VLOOKUP(O34,'ET 시간 배정'!$B$187:$E$377,2,0)</f>
        <v>0</v>
      </c>
      <c r="P35" s="180"/>
      <c r="Q35" s="185" t="s">
        <v>1164</v>
      </c>
      <c r="R35" s="175">
        <f>VLOOKUP(R34,'ET 시간 배정'!$B$187:$E$377,2,0)</f>
        <v>0</v>
      </c>
      <c r="S35" s="175">
        <f>VLOOKUP(S34,'ET 시간 배정'!$B$187:$E$377,2,0)</f>
        <v>0</v>
      </c>
      <c r="T35" s="175">
        <f>VLOOKUP(T34,'ET 시간 배정'!$B$187:$E$377,2,0)</f>
        <v>0</v>
      </c>
      <c r="U35" s="175">
        <f>VLOOKUP(U34,'ET 시간 배정'!$B$187:$E$377,2,0)</f>
        <v>0</v>
      </c>
      <c r="V35" s="186">
        <f>VLOOKUP(V34,'ET 시간 배정'!$B$187:$E$377,2,0)</f>
        <v>0</v>
      </c>
    </row>
    <row r="36" spans="2:22" s="36" customFormat="1" x14ac:dyDescent="0.3">
      <c r="B36" s="185" t="s">
        <v>1165</v>
      </c>
      <c r="C36" s="175">
        <f>VLOOKUP(C34,'ET 시간 배정'!$B$187:$E$377,3,0)</f>
        <v>0</v>
      </c>
      <c r="D36" s="175">
        <f>VLOOKUP(D34,'ET 시간 배정'!$B$187:$E$377,3,0)</f>
        <v>0</v>
      </c>
      <c r="E36" s="175">
        <f>VLOOKUP(E34,'ET 시간 배정'!$B$187:$E$377,3,0)</f>
        <v>0</v>
      </c>
      <c r="F36" s="175">
        <f>VLOOKUP(F34,'ET 시간 배정'!$B$187:$E$377,3,0)</f>
        <v>0</v>
      </c>
      <c r="G36" s="186">
        <f>VLOOKUP(G34,'ET 시간 배정'!$B$187:$E$377,3,0)</f>
        <v>0</v>
      </c>
      <c r="H36" s="194"/>
      <c r="I36" s="180"/>
      <c r="J36" s="185" t="s">
        <v>1165</v>
      </c>
      <c r="K36" s="175">
        <f>VLOOKUP(K34,'ET 시간 배정'!$B$187:$E$377,3,0)</f>
        <v>0</v>
      </c>
      <c r="L36" s="175">
        <f>VLOOKUP(L34,'ET 시간 배정'!$B$187:$E$377,3,0)</f>
        <v>0</v>
      </c>
      <c r="M36" s="175">
        <f>VLOOKUP(M34,'ET 시간 배정'!$B$187:$E$377,3,0)</f>
        <v>0</v>
      </c>
      <c r="N36" s="175">
        <f>VLOOKUP(N34,'ET 시간 배정'!$B$187:$E$377,3,0)</f>
        <v>0</v>
      </c>
      <c r="O36" s="186">
        <f>VLOOKUP(O34,'ET 시간 배정'!$B$187:$E$377,3,0)</f>
        <v>0</v>
      </c>
      <c r="P36" s="180"/>
      <c r="Q36" s="185" t="s">
        <v>1165</v>
      </c>
      <c r="R36" s="175">
        <f>VLOOKUP(R34,'ET 시간 배정'!$B$187:$E$377,3,0)</f>
        <v>0</v>
      </c>
      <c r="S36" s="175">
        <f>VLOOKUP(S34,'ET 시간 배정'!$B$187:$E$377,3,0)</f>
        <v>0</v>
      </c>
      <c r="T36" s="175">
        <f>VLOOKUP(T34,'ET 시간 배정'!$B$187:$E$377,3,0)</f>
        <v>0</v>
      </c>
      <c r="U36" s="175">
        <f>VLOOKUP(U34,'ET 시간 배정'!$B$187:$E$377,3,0)</f>
        <v>0</v>
      </c>
      <c r="V36" s="186">
        <f>VLOOKUP(V34,'ET 시간 배정'!$B$187:$E$377,3,0)</f>
        <v>0</v>
      </c>
    </row>
    <row r="37" spans="2:22" s="36" customFormat="1" x14ac:dyDescent="0.3">
      <c r="B37" s="185" t="s">
        <v>1166</v>
      </c>
      <c r="C37" s="181" t="s">
        <v>1269</v>
      </c>
      <c r="D37" s="181" t="s">
        <v>1275</v>
      </c>
      <c r="E37" s="181" t="s">
        <v>1281</v>
      </c>
      <c r="F37" s="181" t="s">
        <v>1287</v>
      </c>
      <c r="G37" s="187" t="s">
        <v>1293</v>
      </c>
      <c r="H37" s="194"/>
      <c r="I37" s="180"/>
      <c r="J37" s="185" t="s">
        <v>1166</v>
      </c>
      <c r="K37" s="181" t="s">
        <v>1300</v>
      </c>
      <c r="L37" s="181" t="s">
        <v>1306</v>
      </c>
      <c r="M37" s="181" t="s">
        <v>1312</v>
      </c>
      <c r="N37" s="181" t="s">
        <v>1318</v>
      </c>
      <c r="O37" s="187" t="s">
        <v>1324</v>
      </c>
      <c r="P37" s="180"/>
      <c r="Q37" s="185" t="s">
        <v>1166</v>
      </c>
      <c r="R37" s="181" t="s">
        <v>1331</v>
      </c>
      <c r="S37" s="181" t="s">
        <v>1337</v>
      </c>
      <c r="T37" s="181" t="s">
        <v>1343</v>
      </c>
      <c r="U37" s="181" t="s">
        <v>1349</v>
      </c>
      <c r="V37" s="187" t="s">
        <v>1355</v>
      </c>
    </row>
    <row r="38" spans="2:22" s="36" customFormat="1" x14ac:dyDescent="0.3">
      <c r="B38" s="185" t="s">
        <v>1164</v>
      </c>
      <c r="C38" s="175">
        <f>VLOOKUP(C37,'ET 시간 배정'!$B$187:$E$377,2,0)</f>
        <v>0</v>
      </c>
      <c r="D38" s="175">
        <f>VLOOKUP(D37,'ET 시간 배정'!$B$187:$E$377,2,0)</f>
        <v>0</v>
      </c>
      <c r="E38" s="175">
        <f>VLOOKUP(E37,'ET 시간 배정'!$B$187:$E$377,2,0)</f>
        <v>0</v>
      </c>
      <c r="F38" s="175">
        <f>VLOOKUP(F37,'ET 시간 배정'!$B$187:$E$377,2,0)</f>
        <v>0</v>
      </c>
      <c r="G38" s="186">
        <f>VLOOKUP(G37,'ET 시간 배정'!$B$187:$E$377,2,0)</f>
        <v>0</v>
      </c>
      <c r="H38" s="194"/>
      <c r="I38" s="180"/>
      <c r="J38" s="185" t="s">
        <v>1164</v>
      </c>
      <c r="K38" s="175">
        <f>VLOOKUP(K37,'ET 시간 배정'!$B$187:$E$377,2,0)</f>
        <v>0</v>
      </c>
      <c r="L38" s="175">
        <f>VLOOKUP(L37,'ET 시간 배정'!$B$187:$E$377,2,0)</f>
        <v>0</v>
      </c>
      <c r="M38" s="175">
        <f>VLOOKUP(M37,'ET 시간 배정'!$B$187:$E$377,2,0)</f>
        <v>0</v>
      </c>
      <c r="N38" s="175">
        <f>VLOOKUP(N37,'ET 시간 배정'!$B$187:$E$377,2,0)</f>
        <v>0</v>
      </c>
      <c r="O38" s="186">
        <f>VLOOKUP(O37,'ET 시간 배정'!$B$187:$E$377,2,0)</f>
        <v>0</v>
      </c>
      <c r="P38" s="180"/>
      <c r="Q38" s="185" t="s">
        <v>1164</v>
      </c>
      <c r="R38" s="175">
        <f>VLOOKUP(R37,'ET 시간 배정'!$B$187:$E$377,2,0)</f>
        <v>0</v>
      </c>
      <c r="S38" s="175">
        <f>VLOOKUP(S37,'ET 시간 배정'!$B$187:$E$377,2,0)</f>
        <v>0</v>
      </c>
      <c r="T38" s="175">
        <f>VLOOKUP(T37,'ET 시간 배정'!$B$187:$E$377,2,0)</f>
        <v>0</v>
      </c>
      <c r="U38" s="175">
        <f>VLOOKUP(U37,'ET 시간 배정'!$B$187:$E$377,2,0)</f>
        <v>0</v>
      </c>
      <c r="V38" s="186">
        <f>VLOOKUP(V37,'ET 시간 배정'!$B$187:$E$377,2,0)</f>
        <v>0</v>
      </c>
    </row>
    <row r="39" spans="2:22" s="36" customFormat="1" x14ac:dyDescent="0.3">
      <c r="B39" s="185" t="s">
        <v>1165</v>
      </c>
      <c r="C39" s="175">
        <f>VLOOKUP(C37,'ET 시간 배정'!$B$187:$E$377,3,0)</f>
        <v>0</v>
      </c>
      <c r="D39" s="175">
        <f>VLOOKUP(D37,'ET 시간 배정'!$B$187:$E$377,3,0)</f>
        <v>0</v>
      </c>
      <c r="E39" s="175">
        <f>VLOOKUP(E37,'ET 시간 배정'!$B$187:$E$377,3,0)</f>
        <v>0</v>
      </c>
      <c r="F39" s="175">
        <f>VLOOKUP(F37,'ET 시간 배정'!$B$187:$E$377,3,0)</f>
        <v>0</v>
      </c>
      <c r="G39" s="186">
        <f>VLOOKUP(G37,'ET 시간 배정'!$B$187:$E$377,3,0)</f>
        <v>0</v>
      </c>
      <c r="H39" s="194"/>
      <c r="I39" s="180"/>
      <c r="J39" s="185" t="s">
        <v>1165</v>
      </c>
      <c r="K39" s="175">
        <f>VLOOKUP(K37,'ET 시간 배정'!$B$187:$E$377,3,0)</f>
        <v>0</v>
      </c>
      <c r="L39" s="175">
        <f>VLOOKUP(L37,'ET 시간 배정'!$B$187:$E$377,3,0)</f>
        <v>0</v>
      </c>
      <c r="M39" s="175">
        <f>VLOOKUP(M37,'ET 시간 배정'!$B$187:$E$377,3,0)</f>
        <v>0</v>
      </c>
      <c r="N39" s="175">
        <f>VLOOKUP(N37,'ET 시간 배정'!$B$187:$E$377,3,0)</f>
        <v>0</v>
      </c>
      <c r="O39" s="186">
        <f>VLOOKUP(O37,'ET 시간 배정'!$B$187:$E$377,3,0)</f>
        <v>0</v>
      </c>
      <c r="P39" s="180"/>
      <c r="Q39" s="185" t="s">
        <v>1165</v>
      </c>
      <c r="R39" s="175">
        <f>VLOOKUP(R37,'ET 시간 배정'!$B$187:$E$377,3,0)</f>
        <v>0</v>
      </c>
      <c r="S39" s="175">
        <f>VLOOKUP(S37,'ET 시간 배정'!$B$187:$E$377,3,0)</f>
        <v>0</v>
      </c>
      <c r="T39" s="175">
        <f>VLOOKUP(T37,'ET 시간 배정'!$B$187:$E$377,3,0)</f>
        <v>0</v>
      </c>
      <c r="U39" s="175">
        <f>VLOOKUP(U37,'ET 시간 배정'!$B$187:$E$377,3,0)</f>
        <v>0</v>
      </c>
      <c r="V39" s="186">
        <f>VLOOKUP(V37,'ET 시간 배정'!$B$187:$E$377,3,0)</f>
        <v>0</v>
      </c>
    </row>
    <row r="40" spans="2:22" x14ac:dyDescent="0.3">
      <c r="B40" s="185" t="s">
        <v>1166</v>
      </c>
      <c r="C40" s="181" t="s">
        <v>1270</v>
      </c>
      <c r="D40" s="181" t="s">
        <v>1276</v>
      </c>
      <c r="E40" s="181" t="s">
        <v>1282</v>
      </c>
      <c r="F40" s="181" t="s">
        <v>1288</v>
      </c>
      <c r="G40" s="187" t="s">
        <v>1294</v>
      </c>
      <c r="H40" s="194"/>
      <c r="I40" s="180"/>
      <c r="J40" s="185" t="s">
        <v>1166</v>
      </c>
      <c r="K40" s="181" t="s">
        <v>1301</v>
      </c>
      <c r="L40" s="181" t="s">
        <v>1307</v>
      </c>
      <c r="M40" s="181" t="s">
        <v>1313</v>
      </c>
      <c r="N40" s="181" t="s">
        <v>1319</v>
      </c>
      <c r="O40" s="187" t="s">
        <v>1325</v>
      </c>
      <c r="P40" s="180"/>
      <c r="Q40" s="185" t="s">
        <v>1166</v>
      </c>
      <c r="R40" s="181" t="s">
        <v>1332</v>
      </c>
      <c r="S40" s="181" t="s">
        <v>1338</v>
      </c>
      <c r="T40" s="181" t="s">
        <v>1344</v>
      </c>
      <c r="U40" s="181" t="s">
        <v>1350</v>
      </c>
      <c r="V40" s="187" t="s">
        <v>1356</v>
      </c>
    </row>
    <row r="41" spans="2:22" s="36" customFormat="1" x14ac:dyDescent="0.3">
      <c r="B41" s="185" t="s">
        <v>1164</v>
      </c>
      <c r="C41" s="175">
        <f>VLOOKUP(C40,'ET 시간 배정'!$B$187:$E$377,2,0)</f>
        <v>0</v>
      </c>
      <c r="D41" s="175">
        <f>VLOOKUP(D40,'ET 시간 배정'!$B$187:$E$377,2,0)</f>
        <v>0</v>
      </c>
      <c r="E41" s="175">
        <f>VLOOKUP(E40,'ET 시간 배정'!$B$187:$E$377,2,0)</f>
        <v>0</v>
      </c>
      <c r="F41" s="175">
        <f>VLOOKUP(F40,'ET 시간 배정'!$B$187:$E$377,2,0)</f>
        <v>0</v>
      </c>
      <c r="G41" s="186">
        <f>VLOOKUP(G40,'ET 시간 배정'!$B$187:$E$377,2,0)</f>
        <v>0</v>
      </c>
      <c r="H41" s="194"/>
      <c r="I41" s="180"/>
      <c r="J41" s="185" t="s">
        <v>1164</v>
      </c>
      <c r="K41" s="175">
        <f>VLOOKUP(K40,'ET 시간 배정'!$B$187:$E$377,2,0)</f>
        <v>0</v>
      </c>
      <c r="L41" s="175">
        <f>VLOOKUP(L40,'ET 시간 배정'!$B$187:$E$377,2,0)</f>
        <v>0</v>
      </c>
      <c r="M41" s="175">
        <f>VLOOKUP(M40,'ET 시간 배정'!$B$187:$E$377,2,0)</f>
        <v>0</v>
      </c>
      <c r="N41" s="175">
        <f>VLOOKUP(N40,'ET 시간 배정'!$B$187:$E$377,2,0)</f>
        <v>0</v>
      </c>
      <c r="O41" s="186">
        <f>VLOOKUP(O40,'ET 시간 배정'!$B$187:$E$377,2,0)</f>
        <v>0</v>
      </c>
      <c r="P41" s="180"/>
      <c r="Q41" s="185" t="s">
        <v>1164</v>
      </c>
      <c r="R41" s="175">
        <f>VLOOKUP(R40,'ET 시간 배정'!$B$187:$E$377,2,0)</f>
        <v>0</v>
      </c>
      <c r="S41" s="175">
        <f>VLOOKUP(S40,'ET 시간 배정'!$B$187:$E$377,2,0)</f>
        <v>0</v>
      </c>
      <c r="T41" s="175">
        <f>VLOOKUP(T40,'ET 시간 배정'!$B$187:$E$377,2,0)</f>
        <v>0</v>
      </c>
      <c r="U41" s="175">
        <f>VLOOKUP(U40,'ET 시간 배정'!$B$187:$E$377,2,0)</f>
        <v>0</v>
      </c>
      <c r="V41" s="186">
        <f>VLOOKUP(V40,'ET 시간 배정'!$B$187:$E$377,2,0)</f>
        <v>0</v>
      </c>
    </row>
    <row r="42" spans="2:22" s="36" customFormat="1" x14ac:dyDescent="0.3">
      <c r="B42" s="185" t="s">
        <v>1165</v>
      </c>
      <c r="C42" s="175">
        <f>VLOOKUP(C40,'ET 시간 배정'!$B$187:$E$377,3,0)</f>
        <v>0</v>
      </c>
      <c r="D42" s="175">
        <f>VLOOKUP(D40,'ET 시간 배정'!$B$187:$E$377,3,0)</f>
        <v>0</v>
      </c>
      <c r="E42" s="175">
        <f>VLOOKUP(E40,'ET 시간 배정'!$B$187:$E$377,3,0)</f>
        <v>0</v>
      </c>
      <c r="F42" s="175">
        <f>VLOOKUP(F40,'ET 시간 배정'!$B$187:$E$377,3,0)</f>
        <v>0</v>
      </c>
      <c r="G42" s="186">
        <f>VLOOKUP(G40,'ET 시간 배정'!$B$187:$E$377,3,0)</f>
        <v>0</v>
      </c>
      <c r="H42" s="194"/>
      <c r="I42" s="180"/>
      <c r="J42" s="185" t="s">
        <v>1165</v>
      </c>
      <c r="K42" s="175">
        <f>VLOOKUP(K40,'ET 시간 배정'!$B$187:$E$377,3,0)</f>
        <v>0</v>
      </c>
      <c r="L42" s="175">
        <f>VLOOKUP(L40,'ET 시간 배정'!$B$187:$E$377,3,0)</f>
        <v>0</v>
      </c>
      <c r="M42" s="175">
        <f>VLOOKUP(M40,'ET 시간 배정'!$B$187:$E$377,3,0)</f>
        <v>0</v>
      </c>
      <c r="N42" s="175">
        <f>VLOOKUP(N40,'ET 시간 배정'!$B$187:$E$377,3,0)</f>
        <v>0</v>
      </c>
      <c r="O42" s="186">
        <f>VLOOKUP(O40,'ET 시간 배정'!$B$187:$E$377,3,0)</f>
        <v>0</v>
      </c>
      <c r="P42" s="180"/>
      <c r="Q42" s="185" t="s">
        <v>1165</v>
      </c>
      <c r="R42" s="175">
        <f>VLOOKUP(R40,'ET 시간 배정'!$B$187:$E$377,3,0)</f>
        <v>0</v>
      </c>
      <c r="S42" s="175">
        <f>VLOOKUP(S40,'ET 시간 배정'!$B$187:$E$377,3,0)</f>
        <v>0</v>
      </c>
      <c r="T42" s="175">
        <f>VLOOKUP(T40,'ET 시간 배정'!$B$187:$E$377,3,0)</f>
        <v>0</v>
      </c>
      <c r="U42" s="175">
        <f>VLOOKUP(U40,'ET 시간 배정'!$B$187:$E$377,3,0)</f>
        <v>0</v>
      </c>
      <c r="V42" s="186">
        <f>VLOOKUP(V40,'ET 시간 배정'!$B$187:$E$377,3,0)</f>
        <v>0</v>
      </c>
    </row>
    <row r="43" spans="2:22" s="36" customFormat="1" x14ac:dyDescent="0.3">
      <c r="B43" s="185" t="s">
        <v>1166</v>
      </c>
      <c r="C43" s="181" t="s">
        <v>1271</v>
      </c>
      <c r="D43" s="181" t="s">
        <v>1277</v>
      </c>
      <c r="E43" s="181" t="s">
        <v>1283</v>
      </c>
      <c r="F43" s="181" t="s">
        <v>1289</v>
      </c>
      <c r="G43" s="187" t="s">
        <v>1295</v>
      </c>
      <c r="H43" s="194"/>
      <c r="I43" s="180"/>
      <c r="J43" s="185" t="s">
        <v>1166</v>
      </c>
      <c r="K43" s="181" t="s">
        <v>1302</v>
      </c>
      <c r="L43" s="181" t="s">
        <v>1308</v>
      </c>
      <c r="M43" s="181" t="s">
        <v>1314</v>
      </c>
      <c r="N43" s="181" t="s">
        <v>1320</v>
      </c>
      <c r="O43" s="187" t="s">
        <v>1326</v>
      </c>
      <c r="P43" s="180"/>
      <c r="Q43" s="185" t="s">
        <v>1166</v>
      </c>
      <c r="R43" s="181" t="s">
        <v>1333</v>
      </c>
      <c r="S43" s="181" t="s">
        <v>1339</v>
      </c>
      <c r="T43" s="181" t="s">
        <v>1345</v>
      </c>
      <c r="U43" s="181" t="s">
        <v>1351</v>
      </c>
      <c r="V43" s="187" t="s">
        <v>1357</v>
      </c>
    </row>
    <row r="44" spans="2:22" s="36" customFormat="1" x14ac:dyDescent="0.3">
      <c r="B44" s="185" t="s">
        <v>1164</v>
      </c>
      <c r="C44" s="175">
        <f>VLOOKUP(C43,'ET 시간 배정'!$B$187:$E$377,2,0)</f>
        <v>0</v>
      </c>
      <c r="D44" s="175">
        <f>VLOOKUP(D43,'ET 시간 배정'!$B$187:$E$377,2,0)</f>
        <v>0</v>
      </c>
      <c r="E44" s="175">
        <f>VLOOKUP(E43,'ET 시간 배정'!$B$187:$E$377,2,0)</f>
        <v>0</v>
      </c>
      <c r="F44" s="175">
        <f>VLOOKUP(F43,'ET 시간 배정'!$B$187:$E$377,2,0)</f>
        <v>0</v>
      </c>
      <c r="G44" s="186">
        <f>VLOOKUP(G43,'ET 시간 배정'!$B$187:$E$377,2,0)</f>
        <v>0</v>
      </c>
      <c r="H44" s="194"/>
      <c r="I44" s="180"/>
      <c r="J44" s="185" t="s">
        <v>1164</v>
      </c>
      <c r="K44" s="175">
        <f>VLOOKUP(K43,'ET 시간 배정'!$B$187:$E$377,2,0)</f>
        <v>0</v>
      </c>
      <c r="L44" s="175">
        <f>VLOOKUP(L43,'ET 시간 배정'!$B$187:$E$377,2,0)</f>
        <v>0</v>
      </c>
      <c r="M44" s="175">
        <f>VLOOKUP(M43,'ET 시간 배정'!$B$187:$E$377,2,0)</f>
        <v>0</v>
      </c>
      <c r="N44" s="175">
        <f>VLOOKUP(N43,'ET 시간 배정'!$B$187:$E$377,2,0)</f>
        <v>0</v>
      </c>
      <c r="O44" s="186">
        <f>VLOOKUP(O43,'ET 시간 배정'!$B$187:$E$377,2,0)</f>
        <v>0</v>
      </c>
      <c r="P44" s="180"/>
      <c r="Q44" s="185" t="s">
        <v>1164</v>
      </c>
      <c r="R44" s="175">
        <f>VLOOKUP(R43,'ET 시간 배정'!$B$187:$E$377,2,0)</f>
        <v>0</v>
      </c>
      <c r="S44" s="175">
        <f>VLOOKUP(S43,'ET 시간 배정'!$B$187:$E$377,2,0)</f>
        <v>0</v>
      </c>
      <c r="T44" s="175">
        <f>VLOOKUP(T43,'ET 시간 배정'!$B$187:$E$377,2,0)</f>
        <v>0</v>
      </c>
      <c r="U44" s="175">
        <f>VLOOKUP(U43,'ET 시간 배정'!$B$187:$E$377,2,0)</f>
        <v>0</v>
      </c>
      <c r="V44" s="186">
        <f>VLOOKUP(V43,'ET 시간 배정'!$B$187:$E$377,2,0)</f>
        <v>0</v>
      </c>
    </row>
    <row r="45" spans="2:22" s="36" customFormat="1" ht="17.25" thickBot="1" x14ac:dyDescent="0.35">
      <c r="B45" s="188" t="s">
        <v>1165</v>
      </c>
      <c r="C45" s="189">
        <f>VLOOKUP(C43,'ET 시간 배정'!$B$187:$E$377,3,0)</f>
        <v>0</v>
      </c>
      <c r="D45" s="189">
        <f>VLOOKUP(D43,'ET 시간 배정'!$B$187:$E$377,3,0)</f>
        <v>0</v>
      </c>
      <c r="E45" s="189">
        <f>VLOOKUP(E43,'ET 시간 배정'!$B$187:$E$377,3,0)</f>
        <v>0</v>
      </c>
      <c r="F45" s="189">
        <f>VLOOKUP(F43,'ET 시간 배정'!$B$187:$E$377,3,0)</f>
        <v>0</v>
      </c>
      <c r="G45" s="190">
        <f>VLOOKUP(G43,'ET 시간 배정'!$B$187:$E$377,3,0)</f>
        <v>0</v>
      </c>
      <c r="H45" s="191"/>
      <c r="I45" s="180"/>
      <c r="J45" s="188" t="s">
        <v>1165</v>
      </c>
      <c r="K45" s="189">
        <f>VLOOKUP(K43,'ET 시간 배정'!$B$187:$E$377,3,0)</f>
        <v>0</v>
      </c>
      <c r="L45" s="189">
        <f>VLOOKUP(L43,'ET 시간 배정'!$B$187:$E$377,3,0)</f>
        <v>0</v>
      </c>
      <c r="M45" s="189">
        <f>VLOOKUP(M43,'ET 시간 배정'!$B$187:$E$377,3,0)</f>
        <v>0</v>
      </c>
      <c r="N45" s="189">
        <f>VLOOKUP(N43,'ET 시간 배정'!$B$187:$E$377,3,0)</f>
        <v>0</v>
      </c>
      <c r="O45" s="190">
        <f>VLOOKUP(O43,'ET 시간 배정'!$B$187:$E$377,3,0)</f>
        <v>0</v>
      </c>
      <c r="P45" s="180"/>
      <c r="Q45" s="188" t="s">
        <v>1165</v>
      </c>
      <c r="R45" s="189">
        <f>VLOOKUP(R43,'ET 시간 배정'!$B$187:$E$377,3,0)</f>
        <v>0</v>
      </c>
      <c r="S45" s="189">
        <f>VLOOKUP(S43,'ET 시간 배정'!$B$187:$E$377,3,0)</f>
        <v>0</v>
      </c>
      <c r="T45" s="189">
        <f>VLOOKUP(T43,'ET 시간 배정'!$B$187:$E$377,3,0)</f>
        <v>0</v>
      </c>
      <c r="U45" s="189">
        <f>VLOOKUP(U43,'ET 시간 배정'!$B$187:$E$377,3,0)</f>
        <v>0</v>
      </c>
      <c r="V45" s="190">
        <f>VLOOKUP(V43,'ET 시간 배정'!$B$187:$E$377,3,0)</f>
        <v>0</v>
      </c>
    </row>
    <row r="46" spans="2:22" x14ac:dyDescent="0.3">
      <c r="L46" s="36"/>
      <c r="M46" s="179"/>
      <c r="N46" s="36"/>
    </row>
    <row r="47" spans="2:22" s="36" customFormat="1" x14ac:dyDescent="0.3">
      <c r="M47" s="179"/>
    </row>
    <row r="48" spans="2:22" x14ac:dyDescent="0.3">
      <c r="L48" s="36"/>
      <c r="M48" s="179"/>
      <c r="N48" s="36"/>
    </row>
    <row r="49" spans="12:14" s="36" customFormat="1" x14ac:dyDescent="0.3">
      <c r="M49" s="179"/>
    </row>
    <row r="50" spans="12:14" x14ac:dyDescent="0.3">
      <c r="L50" s="36"/>
      <c r="M50" s="179"/>
      <c r="N50" s="36"/>
    </row>
    <row r="51" spans="12:14" x14ac:dyDescent="0.3">
      <c r="L51" s="36"/>
      <c r="M51" s="179"/>
      <c r="N51" s="36"/>
    </row>
    <row r="52" spans="12:14" x14ac:dyDescent="0.3">
      <c r="L52" s="36"/>
      <c r="M52" s="179"/>
      <c r="N52" s="36"/>
    </row>
    <row r="53" spans="12:14" x14ac:dyDescent="0.3">
      <c r="L53" s="36"/>
      <c r="M53" s="179"/>
      <c r="N53" s="36"/>
    </row>
    <row r="54" spans="12:14" x14ac:dyDescent="0.3">
      <c r="L54" s="36"/>
      <c r="M54" s="179"/>
      <c r="N54" s="36"/>
    </row>
    <row r="55" spans="12:14" x14ac:dyDescent="0.3">
      <c r="L55" s="36"/>
      <c r="M55" s="179"/>
      <c r="N55" s="36"/>
    </row>
    <row r="56" spans="12:14" x14ac:dyDescent="0.3">
      <c r="L56" s="36"/>
      <c r="M56" s="179"/>
      <c r="N56" s="36"/>
    </row>
    <row r="57" spans="12:14" x14ac:dyDescent="0.3">
      <c r="L57" s="36"/>
      <c r="M57" s="179"/>
      <c r="N57" s="36"/>
    </row>
    <row r="58" spans="12:14" x14ac:dyDescent="0.3">
      <c r="L58" s="36"/>
      <c r="M58" s="179"/>
      <c r="N58" s="36"/>
    </row>
    <row r="59" spans="12:14" x14ac:dyDescent="0.3">
      <c r="L59" s="36"/>
      <c r="M59" s="179"/>
      <c r="N59" s="36"/>
    </row>
    <row r="60" spans="12:14" x14ac:dyDescent="0.3">
      <c r="L60" s="36"/>
      <c r="M60" s="179"/>
      <c r="N60" s="36"/>
    </row>
    <row r="61" spans="12:14" x14ac:dyDescent="0.3">
      <c r="L61" s="36"/>
      <c r="M61" s="179"/>
      <c r="N61" s="36"/>
    </row>
    <row r="62" spans="12:14" x14ac:dyDescent="0.3">
      <c r="L62" s="36"/>
      <c r="M62" s="179"/>
      <c r="N62" s="36"/>
    </row>
    <row r="63" spans="12:14" x14ac:dyDescent="0.3">
      <c r="L63" s="36"/>
      <c r="M63" s="179"/>
      <c r="N63" s="36"/>
    </row>
    <row r="64" spans="12:14" x14ac:dyDescent="0.3">
      <c r="L64" s="36"/>
      <c r="M64" s="179"/>
      <c r="N64" s="36"/>
    </row>
    <row r="65" spans="12:14" x14ac:dyDescent="0.3">
      <c r="L65" s="36"/>
      <c r="M65" s="179"/>
      <c r="N65" s="36"/>
    </row>
    <row r="66" spans="12:14" x14ac:dyDescent="0.3">
      <c r="L66" s="36"/>
      <c r="M66" s="179"/>
      <c r="N66" s="36"/>
    </row>
    <row r="67" spans="12:14" x14ac:dyDescent="0.3">
      <c r="L67" s="36"/>
      <c r="M67" s="179"/>
      <c r="N67" s="36"/>
    </row>
    <row r="68" spans="12:14" x14ac:dyDescent="0.3">
      <c r="L68" s="36"/>
      <c r="M68" s="179"/>
      <c r="N68" s="36"/>
    </row>
    <row r="69" spans="12:14" x14ac:dyDescent="0.3">
      <c r="L69" s="36"/>
      <c r="M69" s="179"/>
      <c r="N69" s="36"/>
    </row>
  </sheetData>
  <mergeCells count="6">
    <mergeCell ref="L2:M3"/>
    <mergeCell ref="D26:E27"/>
    <mergeCell ref="L26:M27"/>
    <mergeCell ref="S26:T27"/>
    <mergeCell ref="S2:T3"/>
    <mergeCell ref="D2:F3"/>
  </mergeCells>
  <phoneticPr fontId="27" type="noConversion"/>
  <pageMargins left="0.7" right="0.7" top="0.75" bottom="0.75" header="0.3" footer="0.3"/>
  <pageSetup paperSize="12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사용법</vt:lpstr>
      <vt:lpstr>자율관 배정</vt:lpstr>
      <vt:lpstr>자율관2층</vt:lpstr>
      <vt:lpstr>자율관 2층</vt:lpstr>
      <vt:lpstr>자율관 배정 R1</vt:lpstr>
      <vt:lpstr>ET 시간 배정</vt:lpstr>
      <vt:lpstr>면학관 4층</vt:lpstr>
      <vt:lpstr>3층 강의실 배정</vt:lpstr>
      <vt:lpstr>'자율관 2층'!Print_Area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삼성고19</dc:creator>
  <cp:lastModifiedBy>용철</cp:lastModifiedBy>
  <cp:lastPrinted>2025-10-14T06:40:38Z</cp:lastPrinted>
  <dcterms:created xsi:type="dcterms:W3CDTF">2014-09-12T12:23:44Z</dcterms:created>
  <dcterms:modified xsi:type="dcterms:W3CDTF">2025-10-24T05:08:34Z</dcterms:modified>
</cp:coreProperties>
</file>